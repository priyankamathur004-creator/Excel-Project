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vi\Downloads\priyanka certi\Assignments\"/>
    </mc:Choice>
  </mc:AlternateContent>
  <xr:revisionPtr revIDLastSave="0" documentId="8_{EDD754D9-8DE1-4541-A7FE-E46DDD9F8629}" xr6:coauthVersionLast="47" xr6:coauthVersionMax="47" xr10:uidLastSave="{00000000-0000-0000-0000-000000000000}"/>
  <bookViews>
    <workbookView xWindow="-110" yWindow="-110" windowWidth="25820" windowHeight="15500" activeTab="2" xr2:uid="{3577E0AE-E63C-422B-990F-3E4857A8F3C8}"/>
  </bookViews>
  <sheets>
    <sheet name="Pivot Tables" sheetId="7" r:id="rId1"/>
    <sheet name="Pivot Table2" sheetId="10" r:id="rId2"/>
    <sheet name="Visualisation" sheetId="11" r:id="rId3"/>
    <sheet name="Sheet4" sheetId="12" r:id="rId4"/>
    <sheet name="Clean Data" sheetId="4" r:id="rId5"/>
  </sheets>
  <definedNames>
    <definedName name="_xlcn.WorksheetConnection_Book1.xlsxCX_Junior_BI_Analyst_Test1" hidden="1">CX_Junior_BI_Analyst_Test[]</definedName>
    <definedName name="ExternalData_1" localSheetId="4" hidden="1">'Clean Data'!$A$1:$L$62</definedName>
  </definedNames>
  <calcPr calcId="191029"/>
  <pivotCaches>
    <pivotCache cacheId="40" r:id="rId6"/>
  </pivotCaches>
  <extLst>
    <ext xmlns:x15="http://schemas.microsoft.com/office/spreadsheetml/2010/11/main" uri="{841E416B-1EF1-43b6-AB56-02D37102CBD5}">
      <x15:pivotCaches>
        <pivotCache cacheId="27" r:id="rId7"/>
      </x15:pivotCaches>
    </ext>
    <ext xmlns:x15="http://schemas.microsoft.com/office/spreadsheetml/2010/11/main" uri="{983426D0-5260-488c-9760-48F4B6AC55F4}">
      <x15:pivotTableReferences>
        <x15:pivotTableReference r:id="rId8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X_Junior BI Analyst_Test_6d5b2b0b-787e-4de7-a832-b44791eb40f6" name="CX_Junior BI Analyst_Test" connection="Query - CX_Junior BI Analyst_Test"/>
          <x15:modelTable id="CX_Junior_BI_Analyst_Test" name="CX_Junior_BI_Analyst_Test" connection="WorksheetConnection_Book1.xlsx!CX_Junior_BI_Analyst_Tes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2" i="4" l="1"/>
  <c r="M15" i="4"/>
  <c r="M35" i="4"/>
  <c r="M18" i="4"/>
  <c r="M19" i="4"/>
  <c r="M11" i="4"/>
  <c r="M57" i="4"/>
  <c r="M59" i="4"/>
  <c r="M32" i="4"/>
  <c r="M33" i="4"/>
  <c r="M16" i="4"/>
  <c r="M38" i="4"/>
  <c r="M20" i="4"/>
  <c r="M27" i="4"/>
  <c r="M47" i="4"/>
  <c r="M28" i="4"/>
  <c r="M12" i="4"/>
  <c r="M43" i="4"/>
  <c r="M31" i="4"/>
  <c r="M23" i="4"/>
  <c r="M13" i="4"/>
  <c r="M36" i="4"/>
  <c r="M42" i="4"/>
  <c r="M50" i="4"/>
  <c r="M25" i="4"/>
  <c r="M29" i="4"/>
  <c r="M9" i="4"/>
  <c r="M51" i="4"/>
  <c r="M61" i="4"/>
  <c r="M45" i="4"/>
  <c r="M39" i="4"/>
  <c r="M22" i="4"/>
  <c r="M4" i="4"/>
  <c r="M26" i="4"/>
  <c r="M24" i="4"/>
  <c r="M21" i="4"/>
  <c r="M34" i="4"/>
  <c r="M56" i="4"/>
  <c r="M37" i="4"/>
  <c r="M2" i="4"/>
  <c r="M5" i="4"/>
  <c r="M54" i="4"/>
  <c r="M46" i="4"/>
  <c r="M6" i="4"/>
  <c r="M17" i="4"/>
  <c r="M7" i="4"/>
  <c r="M55" i="4"/>
  <c r="M40" i="4"/>
  <c r="M41" i="4"/>
  <c r="M48" i="4"/>
  <c r="M10" i="4"/>
  <c r="M3" i="4"/>
  <c r="M60" i="4"/>
  <c r="M53" i="4"/>
  <c r="M8" i="4"/>
  <c r="M49" i="4"/>
  <c r="M14" i="4"/>
  <c r="M30" i="4"/>
  <c r="M62" i="4"/>
  <c r="M58" i="4"/>
  <c r="M4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4C72B0-CA68-4321-B91A-A67A558447E8}" keepAlive="1" name="ModelConnection_ExternalData_1" description="Data Model" type="5" refreshedVersion="8" minRefreshableVersion="5" saveData="1">
    <dbPr connection="Data Model Connection" command="CX_Junior BI Analyst_Tes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66E4D2D-3CA8-4E4F-A251-CA205B209095}" name="Query - CX_Junior BI Analyst_Test" description="Connection to the 'CX_Junior BI Analyst_Test' query in the workbook." type="100" refreshedVersion="8" minRefreshableVersion="5">
    <extLst>
      <ext xmlns:x15="http://schemas.microsoft.com/office/spreadsheetml/2010/11/main" uri="{DE250136-89BD-433C-8126-D09CA5730AF9}">
        <x15:connection id="f036b358-a3ce-47d5-9138-5a6ccdf958f5"/>
      </ext>
    </extLst>
  </connection>
  <connection id="3" xr16:uid="{5023490D-8BC3-4FC8-97A9-27451559A72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E5549E2D-30F4-49D4-91F7-6B22677C7B3C}" name="WorksheetConnection_Book1.xlsx!CX_Junior_BI_Analyst_Test" type="102" refreshedVersion="8" minRefreshableVersion="5">
    <extLst>
      <ext xmlns:x15="http://schemas.microsoft.com/office/spreadsheetml/2010/11/main" uri="{DE250136-89BD-433C-8126-D09CA5730AF9}">
        <x15:connection id="CX_Junior_BI_Analyst_Test">
          <x15:rangePr sourceName="_xlcn.WorksheetConnection_Book1.xlsxCX_Junior_BI_Analyst_Test1"/>
        </x15:connection>
      </ext>
    </extLst>
  </connection>
</connections>
</file>

<file path=xl/sharedStrings.xml><?xml version="1.0" encoding="utf-8"?>
<sst xmlns="http://schemas.openxmlformats.org/spreadsheetml/2006/main" count="109" uniqueCount="34">
  <si>
    <t>Column Labels</t>
  </si>
  <si>
    <t>Grand Total</t>
  </si>
  <si>
    <t>Evaluation_ID</t>
  </si>
  <si>
    <t>Evaluation_Date</t>
  </si>
  <si>
    <t>Evaluation_Score</t>
  </si>
  <si>
    <t>STORE AMBIANCE</t>
  </si>
  <si>
    <t>FIRST IMPRESSIONS</t>
  </si>
  <si>
    <t>DISCOVERY</t>
  </si>
  <si>
    <t>RECOMMENDATIONS</t>
  </si>
  <si>
    <t>TRIAL EXPERIENCE &amp; UPSELL</t>
  </si>
  <si>
    <t>OBJECTION HANDLING</t>
  </si>
  <si>
    <t>CLOSURE &amp; CARE</t>
  </si>
  <si>
    <t>OVERALL EXPERIENCE</t>
  </si>
  <si>
    <t>Zone</t>
  </si>
  <si>
    <t>North</t>
  </si>
  <si>
    <t>West</t>
  </si>
  <si>
    <t>South</t>
  </si>
  <si>
    <t>East</t>
  </si>
  <si>
    <t>Performance Grade</t>
  </si>
  <si>
    <t>Row Labels</t>
  </si>
  <si>
    <t>Average Performer</t>
  </si>
  <si>
    <t>Bottom Performer</t>
  </si>
  <si>
    <t>High Performer</t>
  </si>
  <si>
    <t>Low Performer</t>
  </si>
  <si>
    <t>Count of Evaluation_ID</t>
  </si>
  <si>
    <t>Average of Evaluation_Score</t>
  </si>
  <si>
    <t>Sum of STORE AMBIANCE</t>
  </si>
  <si>
    <t>Sum of FIRST IMPRESSIONS</t>
  </si>
  <si>
    <t>Average of STORE AMBIANCE</t>
  </si>
  <si>
    <t>Average of DISCOVERY</t>
  </si>
  <si>
    <t>Average of OBJECTION HANDLING</t>
  </si>
  <si>
    <t>Average of RECOMMENDATIONS</t>
  </si>
  <si>
    <t>Average of CLOSURE &amp; CARE</t>
  </si>
  <si>
    <t>Average of TRIAL EXPERIENCE &amp; UPSELL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</si>
</sst>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14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Table" Target="pivotTables/pivotTabl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Evaluation Performance by Zone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71.571428571428569</c:v>
              </c:pt>
              <c:pt idx="1">
                <c:v>76.736842105263165</c:v>
              </c:pt>
              <c:pt idx="2">
                <c:v>66.611111111111114</c:v>
              </c:pt>
              <c:pt idx="3">
                <c:v>71.82352941176471</c:v>
              </c:pt>
            </c:numLit>
          </c:val>
          <c:extLst>
            <c:ext xmlns:c16="http://schemas.microsoft.com/office/drawing/2014/chart" uri="{C3380CC4-5D6E-409C-BE32-E72D297353CC}">
              <c16:uniqueId val="{00000000-83A7-4D84-BCE8-EADD1EED8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51334447"/>
        <c:axId val="1851337327"/>
      </c:barChart>
      <c:catAx>
        <c:axId val="18513344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3732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85133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34447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[Project 1st completed.xlsx]PivotChartTable1</c15:name>
        <c15:fmtId val="6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1st completed.xlsx]Pivot Tables!PivotTable11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379293013905177E-2"/>
          <c:y val="0.27595134807733235"/>
          <c:w val="0.6889112797070579"/>
          <c:h val="0.52302785068533098"/>
        </c:manualLayout>
      </c:layout>
      <c:pie3DChart>
        <c:varyColors val="1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High Performer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0D9-4856-B054-9C822BFCC50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0D9-4856-B054-9C822BFCC50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0D9-4856-B054-9C822BFCC50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0D9-4856-B054-9C822BFCC5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Tables'!$B$5:$B$9</c:f>
              <c:numCache>
                <c:formatCode>0.00%</c:formatCode>
                <c:ptCount val="4"/>
                <c:pt idx="0">
                  <c:v>0.5</c:v>
                </c:pt>
                <c:pt idx="1">
                  <c:v>0.2857142857142857</c:v>
                </c:pt>
                <c:pt idx="2">
                  <c:v>0.16666666666666666</c:v>
                </c:pt>
                <c:pt idx="3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D9-4856-B054-9C822BFCC50E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Bottom Performer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30D9-4856-B054-9C822BFCC50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30D9-4856-B054-9C822BFCC50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30D9-4856-B054-9C822BFCC50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30D9-4856-B054-9C822BFCC5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Tables'!$C$5:$C$9</c:f>
              <c:numCache>
                <c:formatCode>0.00%</c:formatCode>
                <c:ptCount val="4"/>
                <c:pt idx="0">
                  <c:v>0.25</c:v>
                </c:pt>
                <c:pt idx="1">
                  <c:v>7.1428571428571425E-2</c:v>
                </c:pt>
                <c:pt idx="2">
                  <c:v>0.25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0D9-4856-B054-9C822BFCC50E}"/>
            </c:ext>
          </c:extLst>
        </c:ser>
        <c:ser>
          <c:idx val="2"/>
          <c:order val="2"/>
          <c:tx>
            <c:strRef>
              <c:f>'Pivot Tables'!$D$3:$D$4</c:f>
              <c:strCache>
                <c:ptCount val="1"/>
                <c:pt idx="0">
                  <c:v>Average Performer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30D9-4856-B054-9C822BFCC50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30D9-4856-B054-9C822BFCC50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30D9-4856-B054-9C822BFCC50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30D9-4856-B054-9C822BFCC5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Tables'!$D$5:$D$9</c:f>
              <c:numCache>
                <c:formatCode>0.00%</c:formatCode>
                <c:ptCount val="4"/>
                <c:pt idx="0">
                  <c:v>0.25</c:v>
                </c:pt>
                <c:pt idx="1">
                  <c:v>0.6428571428571429</c:v>
                </c:pt>
                <c:pt idx="2">
                  <c:v>0.58333333333333337</c:v>
                </c:pt>
                <c:pt idx="3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0D9-4856-B054-9C822BFCC50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1st completed.xlsx]Pivot Table2!PivotTable3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Evaluation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4978012768114888E-2"/>
          <c:y val="0.20960511958477102"/>
          <c:w val="0.74888491106811383"/>
          <c:h val="0.52454156713556876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Table2'!$A$4:$A$26</c:f>
              <c:strCache>
                <c:ptCount val="22"/>
                <c:pt idx="0">
                  <c:v>01-10-2022</c:v>
                </c:pt>
                <c:pt idx="1">
                  <c:v>06-10-2022</c:v>
                </c:pt>
                <c:pt idx="2">
                  <c:v>07-10-2022</c:v>
                </c:pt>
                <c:pt idx="3">
                  <c:v>08-10-2022</c:v>
                </c:pt>
                <c:pt idx="4">
                  <c:v>10-10-2022</c:v>
                </c:pt>
                <c:pt idx="5">
                  <c:v>11-10-2022</c:v>
                </c:pt>
                <c:pt idx="6">
                  <c:v>12-10-2022</c:v>
                </c:pt>
                <c:pt idx="7">
                  <c:v>13-10-2022</c:v>
                </c:pt>
                <c:pt idx="8">
                  <c:v>14-10-2022</c:v>
                </c:pt>
                <c:pt idx="9">
                  <c:v>15-10-2022</c:v>
                </c:pt>
                <c:pt idx="10">
                  <c:v>16-10-2022</c:v>
                </c:pt>
                <c:pt idx="11">
                  <c:v>17-10-2022</c:v>
                </c:pt>
                <c:pt idx="12">
                  <c:v>18-10-2022</c:v>
                </c:pt>
                <c:pt idx="13">
                  <c:v>19-10-2022</c:v>
                </c:pt>
                <c:pt idx="14">
                  <c:v>20-10-2022</c:v>
                </c:pt>
                <c:pt idx="15">
                  <c:v>21-10-2022</c:v>
                </c:pt>
                <c:pt idx="16">
                  <c:v>22-10-2022</c:v>
                </c:pt>
                <c:pt idx="17">
                  <c:v>23-10-2022</c:v>
                </c:pt>
                <c:pt idx="18">
                  <c:v>27-10-2022</c:v>
                </c:pt>
                <c:pt idx="19">
                  <c:v>28-10-2022</c:v>
                </c:pt>
                <c:pt idx="20">
                  <c:v>29-10-2022</c:v>
                </c:pt>
                <c:pt idx="21">
                  <c:v>30-10-2022</c:v>
                </c:pt>
              </c:strCache>
            </c:strRef>
          </c:cat>
          <c:val>
            <c:numRef>
              <c:f>'Pivot Table2'!$B$4:$B$26</c:f>
              <c:numCache>
                <c:formatCode>General</c:formatCode>
                <c:ptCount val="22"/>
                <c:pt idx="0">
                  <c:v>58</c:v>
                </c:pt>
                <c:pt idx="1">
                  <c:v>68.5</c:v>
                </c:pt>
                <c:pt idx="2">
                  <c:v>85.666666666666671</c:v>
                </c:pt>
                <c:pt idx="3">
                  <c:v>72.333333333333329</c:v>
                </c:pt>
                <c:pt idx="4">
                  <c:v>78</c:v>
                </c:pt>
                <c:pt idx="5">
                  <c:v>73</c:v>
                </c:pt>
                <c:pt idx="6">
                  <c:v>83.333333333333329</c:v>
                </c:pt>
                <c:pt idx="7">
                  <c:v>63.5</c:v>
                </c:pt>
                <c:pt idx="8">
                  <c:v>72</c:v>
                </c:pt>
                <c:pt idx="9">
                  <c:v>66</c:v>
                </c:pt>
                <c:pt idx="10">
                  <c:v>69</c:v>
                </c:pt>
                <c:pt idx="11">
                  <c:v>86</c:v>
                </c:pt>
                <c:pt idx="12">
                  <c:v>69.333333333333329</c:v>
                </c:pt>
                <c:pt idx="13">
                  <c:v>52</c:v>
                </c:pt>
                <c:pt idx="14">
                  <c:v>90.666666666666671</c:v>
                </c:pt>
                <c:pt idx="15">
                  <c:v>71</c:v>
                </c:pt>
                <c:pt idx="16">
                  <c:v>69</c:v>
                </c:pt>
                <c:pt idx="17">
                  <c:v>53</c:v>
                </c:pt>
                <c:pt idx="18">
                  <c:v>94</c:v>
                </c:pt>
                <c:pt idx="19">
                  <c:v>74.5</c:v>
                </c:pt>
                <c:pt idx="20">
                  <c:v>65</c:v>
                </c:pt>
                <c:pt idx="21">
                  <c:v>48.333333333333336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82-4616-9DAF-0E48176C4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633743"/>
        <c:axId val="918634703"/>
      </c:lineChart>
      <c:catAx>
        <c:axId val="91863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34703"/>
        <c:crosses val="autoZero"/>
        <c:auto val="1"/>
        <c:lblAlgn val="ctr"/>
        <c:lblOffset val="100"/>
        <c:noMultiLvlLbl val="0"/>
      </c:catAx>
      <c:valAx>
        <c:axId val="9186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3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1st completed.xlsx]Sheet4!PivotTable5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High Performer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Sheet4!$A$5:$A$127</c:f>
              <c:multiLvlStrCache>
                <c:ptCount val="26"/>
                <c:lvl>
                  <c:pt idx="0">
                    <c:v>100</c:v>
                  </c:pt>
                  <c:pt idx="1">
                    <c:v>100</c:v>
                  </c:pt>
                  <c:pt idx="2">
                    <c:v>100</c:v>
                  </c:pt>
                  <c:pt idx="3">
                    <c:v>75</c:v>
                  </c:pt>
                  <c:pt idx="4">
                    <c:v>100</c:v>
                  </c:pt>
                  <c:pt idx="5">
                    <c:v>88</c:v>
                  </c:pt>
                  <c:pt idx="6">
                    <c:v>100</c:v>
                  </c:pt>
                  <c:pt idx="7">
                    <c:v>100</c:v>
                  </c:pt>
                  <c:pt idx="8">
                    <c:v>100</c:v>
                  </c:pt>
                  <c:pt idx="9">
                    <c:v>38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75</c:v>
                  </c:pt>
                  <c:pt idx="13">
                    <c:v>75</c:v>
                  </c:pt>
                  <c:pt idx="14">
                    <c:v>38</c:v>
                  </c:pt>
                  <c:pt idx="15">
                    <c:v>88</c:v>
                  </c:pt>
                  <c:pt idx="16">
                    <c:v>50</c:v>
                  </c:pt>
                  <c:pt idx="17">
                    <c:v>38</c:v>
                  </c:pt>
                  <c:pt idx="18">
                    <c:v>38</c:v>
                  </c:pt>
                  <c:pt idx="19">
                    <c:v>63</c:v>
                  </c:pt>
                  <c:pt idx="20">
                    <c:v>88</c:v>
                  </c:pt>
                  <c:pt idx="21">
                    <c:v>25</c:v>
                  </c:pt>
                  <c:pt idx="22">
                    <c:v>13</c:v>
                  </c:pt>
                  <c:pt idx="23">
                    <c:v>38</c:v>
                  </c:pt>
                  <c:pt idx="24">
                    <c:v>38</c:v>
                  </c:pt>
                  <c:pt idx="25">
                    <c:v>50</c:v>
                  </c:pt>
                </c:lvl>
                <c:lvl>
                  <c:pt idx="0">
                    <c:v>100</c:v>
                  </c:pt>
                  <c:pt idx="1">
                    <c:v>100</c:v>
                  </c:pt>
                  <c:pt idx="2">
                    <c:v>100</c:v>
                  </c:pt>
                  <c:pt idx="3">
                    <c:v>100</c:v>
                  </c:pt>
                  <c:pt idx="5">
                    <c:v>100</c:v>
                  </c:pt>
                  <c:pt idx="6">
                    <c:v>100</c:v>
                  </c:pt>
                  <c:pt idx="7">
                    <c:v>100</c:v>
                  </c:pt>
                  <c:pt idx="8">
                    <c:v>100</c:v>
                  </c:pt>
                  <c:pt idx="9">
                    <c:v>100</c:v>
                  </c:pt>
                  <c:pt idx="10">
                    <c:v>100</c:v>
                  </c:pt>
                  <c:pt idx="11">
                    <c:v>33</c:v>
                  </c:pt>
                  <c:pt idx="12">
                    <c:v>0</c:v>
                  </c:pt>
                  <c:pt idx="13">
                    <c:v>0</c:v>
                  </c:pt>
                  <c:pt idx="14">
                    <c:v>100</c:v>
                  </c:pt>
                  <c:pt idx="15">
                    <c:v>0</c:v>
                  </c:pt>
                  <c:pt idx="16">
                    <c:v>0</c:v>
                  </c:pt>
                  <c:pt idx="17">
                    <c:v>67</c:v>
                  </c:pt>
                  <c:pt idx="18">
                    <c:v>67</c:v>
                  </c:pt>
                  <c:pt idx="19">
                    <c:v>67</c:v>
                  </c:pt>
                  <c:pt idx="20">
                    <c:v>33</c:v>
                  </c:pt>
                  <c:pt idx="21">
                    <c:v>100</c:v>
                  </c:pt>
                  <c:pt idx="22">
                    <c:v>67</c:v>
                  </c:pt>
                  <c:pt idx="23">
                    <c:v>100</c:v>
                  </c:pt>
                  <c:pt idx="24">
                    <c:v>100</c:v>
                  </c:pt>
                  <c:pt idx="25">
                    <c:v>100</c:v>
                  </c:pt>
                </c:lvl>
                <c:lvl>
                  <c:pt idx="0">
                    <c:v>100</c:v>
                  </c:pt>
                  <c:pt idx="1">
                    <c:v>67</c:v>
                  </c:pt>
                  <c:pt idx="2">
                    <c:v>83</c:v>
                  </c:pt>
                  <c:pt idx="3">
                    <c:v>100</c:v>
                  </c:pt>
                  <c:pt idx="5">
                    <c:v>83</c:v>
                  </c:pt>
                  <c:pt idx="6">
                    <c:v>100</c:v>
                  </c:pt>
                  <c:pt idx="7">
                    <c:v>100</c:v>
                  </c:pt>
                  <c:pt idx="8">
                    <c:v>100</c:v>
                  </c:pt>
                  <c:pt idx="9">
                    <c:v>50</c:v>
                  </c:pt>
                  <c:pt idx="10">
                    <c:v>83</c:v>
                  </c:pt>
                  <c:pt idx="11">
                    <c:v>50</c:v>
                  </c:pt>
                  <c:pt idx="12">
                    <c:v>50</c:v>
                  </c:pt>
                  <c:pt idx="13">
                    <c:v>50</c:v>
                  </c:pt>
                  <c:pt idx="14">
                    <c:v>17</c:v>
                  </c:pt>
                  <c:pt idx="15">
                    <c:v>50</c:v>
                  </c:pt>
                  <c:pt idx="16">
                    <c:v>17</c:v>
                  </c:pt>
                  <c:pt idx="17">
                    <c:v>50</c:v>
                  </c:pt>
                  <c:pt idx="18">
                    <c:v>83</c:v>
                  </c:pt>
                  <c:pt idx="19">
                    <c:v>50</c:v>
                  </c:pt>
                  <c:pt idx="20">
                    <c:v>50</c:v>
                  </c:pt>
                  <c:pt idx="21">
                    <c:v>50</c:v>
                  </c:pt>
                  <c:pt idx="22">
                    <c:v>50</c:v>
                  </c:pt>
                  <c:pt idx="23">
                    <c:v>83</c:v>
                  </c:pt>
                  <c:pt idx="24">
                    <c:v>83</c:v>
                  </c:pt>
                  <c:pt idx="25">
                    <c:v>50</c:v>
                  </c:pt>
                </c:lvl>
                <c:lvl>
                  <c:pt idx="0">
                    <c:v>100</c:v>
                  </c:pt>
                  <c:pt idx="1">
                    <c:v>88</c:v>
                  </c:pt>
                  <c:pt idx="2">
                    <c:v>75</c:v>
                  </c:pt>
                  <c:pt idx="5">
                    <c:v>63</c:v>
                  </c:pt>
                  <c:pt idx="7">
                    <c:v>88</c:v>
                  </c:pt>
                  <c:pt idx="8">
                    <c:v>75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63</c:v>
                  </c:pt>
                  <c:pt idx="12">
                    <c:v>50</c:v>
                  </c:pt>
                  <c:pt idx="13">
                    <c:v>43</c:v>
                  </c:pt>
                  <c:pt idx="14">
                    <c:v>25</c:v>
                  </c:pt>
                  <c:pt idx="15">
                    <c:v>50</c:v>
                  </c:pt>
                  <c:pt idx="16">
                    <c:v>57</c:v>
                  </c:pt>
                  <c:pt idx="17">
                    <c:v>43</c:v>
                  </c:pt>
                  <c:pt idx="18">
                    <c:v>38</c:v>
                  </c:pt>
                  <c:pt idx="19">
                    <c:v>43</c:v>
                  </c:pt>
                  <c:pt idx="20">
                    <c:v>38</c:v>
                  </c:pt>
                  <c:pt idx="21">
                    <c:v>57</c:v>
                  </c:pt>
                  <c:pt idx="22">
                    <c:v>38</c:v>
                  </c:pt>
                  <c:pt idx="23">
                    <c:v>38</c:v>
                  </c:pt>
                  <c:pt idx="24">
                    <c:v>63</c:v>
                  </c:pt>
                  <c:pt idx="25">
                    <c:v>50</c:v>
                  </c:pt>
                </c:lvl>
                <c:lvl>
                  <c:pt idx="0">
                    <c:v>100</c:v>
                  </c:pt>
                  <c:pt idx="7">
                    <c:v>90</c:v>
                  </c:pt>
                  <c:pt idx="8">
                    <c:v>89</c:v>
                  </c:pt>
                  <c:pt idx="9">
                    <c:v>78</c:v>
                  </c:pt>
                  <c:pt idx="10">
                    <c:v>100</c:v>
                  </c:pt>
                  <c:pt idx="11">
                    <c:v>89</c:v>
                  </c:pt>
                  <c:pt idx="12">
                    <c:v>78</c:v>
                  </c:pt>
                  <c:pt idx="15">
                    <c:v>67</c:v>
                  </c:pt>
                  <c:pt idx="16">
                    <c:v>56</c:v>
                  </c:pt>
                  <c:pt idx="17">
                    <c:v>78</c:v>
                  </c:pt>
                  <c:pt idx="18">
                    <c:v>67</c:v>
                  </c:pt>
                  <c:pt idx="19">
                    <c:v>78</c:v>
                  </c:pt>
                  <c:pt idx="20">
                    <c:v>67</c:v>
                  </c:pt>
                  <c:pt idx="21">
                    <c:v>33</c:v>
                  </c:pt>
                  <c:pt idx="22">
                    <c:v>78</c:v>
                  </c:pt>
                  <c:pt idx="23">
                    <c:v>89</c:v>
                  </c:pt>
                  <c:pt idx="24">
                    <c:v>80</c:v>
                  </c:pt>
                </c:lvl>
                <c:lvl>
                  <c:pt idx="0">
                    <c:v>100</c:v>
                  </c:pt>
                  <c:pt idx="10">
                    <c:v>80</c:v>
                  </c:pt>
                  <c:pt idx="17">
                    <c:v>60</c:v>
                  </c:pt>
                  <c:pt idx="19">
                    <c:v>40</c:v>
                  </c:pt>
                  <c:pt idx="22">
                    <c:v>20</c:v>
                  </c:pt>
                  <c:pt idx="23">
                    <c:v>0</c:v>
                  </c:pt>
                </c:lvl>
              </c:multiLvlStrCache>
            </c:multiLvlStrRef>
          </c:cat>
          <c:val>
            <c:numRef>
              <c:f>Sheet4!$B$5:$B$127</c:f>
              <c:numCache>
                <c:formatCode>General</c:formatCode>
                <c:ptCount val="2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78</c:v>
                </c:pt>
                <c:pt idx="5">
                  <c:v>100</c:v>
                </c:pt>
                <c:pt idx="6">
                  <c:v>100</c:v>
                </c:pt>
                <c:pt idx="7">
                  <c:v>89</c:v>
                </c:pt>
                <c:pt idx="8">
                  <c:v>100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3-45AF-AE04-23BD1FC10166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Low Performer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Sheet4!$A$5:$A$127</c:f>
              <c:multiLvlStrCache>
                <c:ptCount val="26"/>
                <c:lvl>
                  <c:pt idx="0">
                    <c:v>100</c:v>
                  </c:pt>
                  <c:pt idx="1">
                    <c:v>100</c:v>
                  </c:pt>
                  <c:pt idx="2">
                    <c:v>100</c:v>
                  </c:pt>
                  <c:pt idx="3">
                    <c:v>75</c:v>
                  </c:pt>
                  <c:pt idx="4">
                    <c:v>100</c:v>
                  </c:pt>
                  <c:pt idx="5">
                    <c:v>88</c:v>
                  </c:pt>
                  <c:pt idx="6">
                    <c:v>100</c:v>
                  </c:pt>
                  <c:pt idx="7">
                    <c:v>100</c:v>
                  </c:pt>
                  <c:pt idx="8">
                    <c:v>100</c:v>
                  </c:pt>
                  <c:pt idx="9">
                    <c:v>38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75</c:v>
                  </c:pt>
                  <c:pt idx="13">
                    <c:v>75</c:v>
                  </c:pt>
                  <c:pt idx="14">
                    <c:v>38</c:v>
                  </c:pt>
                  <c:pt idx="15">
                    <c:v>88</c:v>
                  </c:pt>
                  <c:pt idx="16">
                    <c:v>50</c:v>
                  </c:pt>
                  <c:pt idx="17">
                    <c:v>38</c:v>
                  </c:pt>
                  <c:pt idx="18">
                    <c:v>38</c:v>
                  </c:pt>
                  <c:pt idx="19">
                    <c:v>63</c:v>
                  </c:pt>
                  <c:pt idx="20">
                    <c:v>88</c:v>
                  </c:pt>
                  <c:pt idx="21">
                    <c:v>25</c:v>
                  </c:pt>
                  <c:pt idx="22">
                    <c:v>13</c:v>
                  </c:pt>
                  <c:pt idx="23">
                    <c:v>38</c:v>
                  </c:pt>
                  <c:pt idx="24">
                    <c:v>38</c:v>
                  </c:pt>
                  <c:pt idx="25">
                    <c:v>50</c:v>
                  </c:pt>
                </c:lvl>
                <c:lvl>
                  <c:pt idx="0">
                    <c:v>100</c:v>
                  </c:pt>
                  <c:pt idx="1">
                    <c:v>100</c:v>
                  </c:pt>
                  <c:pt idx="2">
                    <c:v>100</c:v>
                  </c:pt>
                  <c:pt idx="3">
                    <c:v>100</c:v>
                  </c:pt>
                  <c:pt idx="5">
                    <c:v>100</c:v>
                  </c:pt>
                  <c:pt idx="6">
                    <c:v>100</c:v>
                  </c:pt>
                  <c:pt idx="7">
                    <c:v>100</c:v>
                  </c:pt>
                  <c:pt idx="8">
                    <c:v>100</c:v>
                  </c:pt>
                  <c:pt idx="9">
                    <c:v>100</c:v>
                  </c:pt>
                  <c:pt idx="10">
                    <c:v>100</c:v>
                  </c:pt>
                  <c:pt idx="11">
                    <c:v>33</c:v>
                  </c:pt>
                  <c:pt idx="12">
                    <c:v>0</c:v>
                  </c:pt>
                  <c:pt idx="13">
                    <c:v>0</c:v>
                  </c:pt>
                  <c:pt idx="14">
                    <c:v>100</c:v>
                  </c:pt>
                  <c:pt idx="15">
                    <c:v>0</c:v>
                  </c:pt>
                  <c:pt idx="16">
                    <c:v>0</c:v>
                  </c:pt>
                  <c:pt idx="17">
                    <c:v>67</c:v>
                  </c:pt>
                  <c:pt idx="18">
                    <c:v>67</c:v>
                  </c:pt>
                  <c:pt idx="19">
                    <c:v>67</c:v>
                  </c:pt>
                  <c:pt idx="20">
                    <c:v>33</c:v>
                  </c:pt>
                  <c:pt idx="21">
                    <c:v>100</c:v>
                  </c:pt>
                  <c:pt idx="22">
                    <c:v>67</c:v>
                  </c:pt>
                  <c:pt idx="23">
                    <c:v>100</c:v>
                  </c:pt>
                  <c:pt idx="24">
                    <c:v>100</c:v>
                  </c:pt>
                  <c:pt idx="25">
                    <c:v>100</c:v>
                  </c:pt>
                </c:lvl>
                <c:lvl>
                  <c:pt idx="0">
                    <c:v>100</c:v>
                  </c:pt>
                  <c:pt idx="1">
                    <c:v>67</c:v>
                  </c:pt>
                  <c:pt idx="2">
                    <c:v>83</c:v>
                  </c:pt>
                  <c:pt idx="3">
                    <c:v>100</c:v>
                  </c:pt>
                  <c:pt idx="5">
                    <c:v>83</c:v>
                  </c:pt>
                  <c:pt idx="6">
                    <c:v>100</c:v>
                  </c:pt>
                  <c:pt idx="7">
                    <c:v>100</c:v>
                  </c:pt>
                  <c:pt idx="8">
                    <c:v>100</c:v>
                  </c:pt>
                  <c:pt idx="9">
                    <c:v>50</c:v>
                  </c:pt>
                  <c:pt idx="10">
                    <c:v>83</c:v>
                  </c:pt>
                  <c:pt idx="11">
                    <c:v>50</c:v>
                  </c:pt>
                  <c:pt idx="12">
                    <c:v>50</c:v>
                  </c:pt>
                  <c:pt idx="13">
                    <c:v>50</c:v>
                  </c:pt>
                  <c:pt idx="14">
                    <c:v>17</c:v>
                  </c:pt>
                  <c:pt idx="15">
                    <c:v>50</c:v>
                  </c:pt>
                  <c:pt idx="16">
                    <c:v>17</c:v>
                  </c:pt>
                  <c:pt idx="17">
                    <c:v>50</c:v>
                  </c:pt>
                  <c:pt idx="18">
                    <c:v>83</c:v>
                  </c:pt>
                  <c:pt idx="19">
                    <c:v>50</c:v>
                  </c:pt>
                  <c:pt idx="20">
                    <c:v>50</c:v>
                  </c:pt>
                  <c:pt idx="21">
                    <c:v>50</c:v>
                  </c:pt>
                  <c:pt idx="22">
                    <c:v>50</c:v>
                  </c:pt>
                  <c:pt idx="23">
                    <c:v>83</c:v>
                  </c:pt>
                  <c:pt idx="24">
                    <c:v>83</c:v>
                  </c:pt>
                  <c:pt idx="25">
                    <c:v>50</c:v>
                  </c:pt>
                </c:lvl>
                <c:lvl>
                  <c:pt idx="0">
                    <c:v>100</c:v>
                  </c:pt>
                  <c:pt idx="1">
                    <c:v>88</c:v>
                  </c:pt>
                  <c:pt idx="2">
                    <c:v>75</c:v>
                  </c:pt>
                  <c:pt idx="5">
                    <c:v>63</c:v>
                  </c:pt>
                  <c:pt idx="7">
                    <c:v>88</c:v>
                  </c:pt>
                  <c:pt idx="8">
                    <c:v>75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63</c:v>
                  </c:pt>
                  <c:pt idx="12">
                    <c:v>50</c:v>
                  </c:pt>
                  <c:pt idx="13">
                    <c:v>43</c:v>
                  </c:pt>
                  <c:pt idx="14">
                    <c:v>25</c:v>
                  </c:pt>
                  <c:pt idx="15">
                    <c:v>50</c:v>
                  </c:pt>
                  <c:pt idx="16">
                    <c:v>57</c:v>
                  </c:pt>
                  <c:pt idx="17">
                    <c:v>43</c:v>
                  </c:pt>
                  <c:pt idx="18">
                    <c:v>38</c:v>
                  </c:pt>
                  <c:pt idx="19">
                    <c:v>43</c:v>
                  </c:pt>
                  <c:pt idx="20">
                    <c:v>38</c:v>
                  </c:pt>
                  <c:pt idx="21">
                    <c:v>57</c:v>
                  </c:pt>
                  <c:pt idx="22">
                    <c:v>38</c:v>
                  </c:pt>
                  <c:pt idx="23">
                    <c:v>38</c:v>
                  </c:pt>
                  <c:pt idx="24">
                    <c:v>63</c:v>
                  </c:pt>
                  <c:pt idx="25">
                    <c:v>50</c:v>
                  </c:pt>
                </c:lvl>
                <c:lvl>
                  <c:pt idx="0">
                    <c:v>100</c:v>
                  </c:pt>
                  <c:pt idx="7">
                    <c:v>90</c:v>
                  </c:pt>
                  <c:pt idx="8">
                    <c:v>89</c:v>
                  </c:pt>
                  <c:pt idx="9">
                    <c:v>78</c:v>
                  </c:pt>
                  <c:pt idx="10">
                    <c:v>100</c:v>
                  </c:pt>
                  <c:pt idx="11">
                    <c:v>89</c:v>
                  </c:pt>
                  <c:pt idx="12">
                    <c:v>78</c:v>
                  </c:pt>
                  <c:pt idx="15">
                    <c:v>67</c:v>
                  </c:pt>
                  <c:pt idx="16">
                    <c:v>56</c:v>
                  </c:pt>
                  <c:pt idx="17">
                    <c:v>78</c:v>
                  </c:pt>
                  <c:pt idx="18">
                    <c:v>67</c:v>
                  </c:pt>
                  <c:pt idx="19">
                    <c:v>78</c:v>
                  </c:pt>
                  <c:pt idx="20">
                    <c:v>67</c:v>
                  </c:pt>
                  <c:pt idx="21">
                    <c:v>33</c:v>
                  </c:pt>
                  <c:pt idx="22">
                    <c:v>78</c:v>
                  </c:pt>
                  <c:pt idx="23">
                    <c:v>89</c:v>
                  </c:pt>
                  <c:pt idx="24">
                    <c:v>80</c:v>
                  </c:pt>
                </c:lvl>
                <c:lvl>
                  <c:pt idx="0">
                    <c:v>100</c:v>
                  </c:pt>
                  <c:pt idx="10">
                    <c:v>80</c:v>
                  </c:pt>
                  <c:pt idx="17">
                    <c:v>60</c:v>
                  </c:pt>
                  <c:pt idx="19">
                    <c:v>40</c:v>
                  </c:pt>
                  <c:pt idx="22">
                    <c:v>20</c:v>
                  </c:pt>
                  <c:pt idx="23">
                    <c:v>0</c:v>
                  </c:pt>
                </c:lvl>
              </c:multiLvlStrCache>
            </c:multiLvlStrRef>
          </c:cat>
          <c:val>
            <c:numRef>
              <c:f>Sheet4!$C$5:$C$127</c:f>
              <c:numCache>
                <c:formatCode>General</c:formatCode>
                <c:ptCount val="26"/>
                <c:pt idx="9">
                  <c:v>89</c:v>
                </c:pt>
                <c:pt idx="11">
                  <c:v>89</c:v>
                </c:pt>
                <c:pt idx="12">
                  <c:v>100</c:v>
                </c:pt>
                <c:pt idx="13">
                  <c:v>89</c:v>
                </c:pt>
                <c:pt idx="14">
                  <c:v>89</c:v>
                </c:pt>
                <c:pt idx="15">
                  <c:v>100</c:v>
                </c:pt>
                <c:pt idx="16">
                  <c:v>100</c:v>
                </c:pt>
                <c:pt idx="17">
                  <c:v>78</c:v>
                </c:pt>
                <c:pt idx="18">
                  <c:v>78</c:v>
                </c:pt>
                <c:pt idx="19">
                  <c:v>89</c:v>
                </c:pt>
                <c:pt idx="20">
                  <c:v>78</c:v>
                </c:pt>
                <c:pt idx="21">
                  <c:v>78</c:v>
                </c:pt>
                <c:pt idx="22">
                  <c:v>89</c:v>
                </c:pt>
                <c:pt idx="23">
                  <c:v>78</c:v>
                </c:pt>
                <c:pt idx="24">
                  <c:v>89</c:v>
                </c:pt>
                <c:pt idx="2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23-45AF-AE04-23BD1FC10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8678863"/>
        <c:axId val="918666383"/>
      </c:barChart>
      <c:catAx>
        <c:axId val="91867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66383"/>
        <c:crosses val="autoZero"/>
        <c:auto val="1"/>
        <c:lblAlgn val="ctr"/>
        <c:lblOffset val="100"/>
        <c:noMultiLvlLbl val="0"/>
      </c:catAx>
      <c:valAx>
        <c:axId val="91866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7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23675</xdr:colOff>
      <xdr:row>8</xdr:row>
      <xdr:rowOff>72359</xdr:rowOff>
    </xdr:from>
    <xdr:to>
      <xdr:col>4</xdr:col>
      <xdr:colOff>1397000</xdr:colOff>
      <xdr:row>22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44B5A6-E9F4-8422-48CB-144037021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1644650</xdr:colOff>
      <xdr:row>8</xdr:row>
      <xdr:rowOff>44450</xdr:rowOff>
    </xdr:from>
    <xdr:to>
      <xdr:col>7</xdr:col>
      <xdr:colOff>2324100</xdr:colOff>
      <xdr:row>22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E6D143-4F29-4D78-3CE0-6B6B67933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1644650</xdr:colOff>
      <xdr:row>22</xdr:row>
      <xdr:rowOff>114300</xdr:rowOff>
    </xdr:from>
    <xdr:to>
      <xdr:col>7</xdr:col>
      <xdr:colOff>2311400</xdr:colOff>
      <xdr:row>38</xdr:row>
      <xdr:rowOff>101600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BA1FC73-8E11-3771-FCB9-C7A50CE76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22</xdr:row>
      <xdr:rowOff>139700</xdr:rowOff>
    </xdr:from>
    <xdr:to>
      <xdr:col>4</xdr:col>
      <xdr:colOff>1409700</xdr:colOff>
      <xdr:row>37</xdr:row>
      <xdr:rowOff>158750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4B3B92FB-D47C-6AFF-0EF6-0869F9268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vin mathur" refreshedDate="45972.673874537039" createdVersion="8" refreshedVersion="8" minRefreshableVersion="3" recordCount="61" xr:uid="{32696BC4-61BA-4BE7-B42B-266750FCADF7}">
  <cacheSource type="worksheet">
    <worksheetSource name="CX_Junior_BI_Analyst_Test"/>
  </cacheSource>
  <cacheFields count="14">
    <cacheField name="Evaluation_ID" numFmtId="0">
      <sharedItems containsSemiMixedTypes="0" containsString="0" containsNumber="1" containsInteger="1" minValue="11078689" maxValue="11108850"/>
    </cacheField>
    <cacheField name="Evaluation_Date" numFmtId="14">
      <sharedItems containsSemiMixedTypes="0" containsNonDate="0" containsDate="1" containsString="0" minDate="2022-10-01T00:00:00" maxDate="2022-10-31T00:00:00" count="22">
        <d v="2022-10-01T00:00:00"/>
        <d v="2022-10-08T00:00:00"/>
        <d v="2022-10-14T00:00:00"/>
        <d v="2022-10-06T00:00:00"/>
        <d v="2022-10-18T00:00:00"/>
        <d v="2022-10-12T00:00:00"/>
        <d v="2022-10-11T00:00:00"/>
        <d v="2022-10-15T00:00:00"/>
        <d v="2022-10-13T00:00:00"/>
        <d v="2022-10-10T00:00:00"/>
        <d v="2022-10-22T00:00:00"/>
        <d v="2022-10-07T00:00:00"/>
        <d v="2022-10-20T00:00:00"/>
        <d v="2022-10-21T00:00:00"/>
        <d v="2022-10-19T00:00:00"/>
        <d v="2022-10-17T00:00:00"/>
        <d v="2022-10-16T00:00:00"/>
        <d v="2022-10-23T00:00:00"/>
        <d v="2022-10-27T00:00:00"/>
        <d v="2022-10-28T00:00:00"/>
        <d v="2022-10-30T00:00:00"/>
        <d v="2022-10-29T00:00:00"/>
      </sharedItems>
      <fieldGroup par="13"/>
    </cacheField>
    <cacheField name="Evaluation_Score" numFmtId="0">
      <sharedItems containsSemiMixedTypes="0" containsString="0" containsNumber="1" containsInteger="1" minValue="33" maxValue="100"/>
    </cacheField>
    <cacheField name="STORE AMBIANCE" numFmtId="0">
      <sharedItems containsSemiMixedTypes="0" containsString="0" containsNumber="1" containsInteger="1" minValue="78" maxValue="100" count="3">
        <n v="100"/>
        <n v="89"/>
        <n v="78"/>
      </sharedItems>
    </cacheField>
    <cacheField name="FIRST IMPRESSIONS" numFmtId="0">
      <sharedItems containsSemiMixedTypes="0" containsString="0" containsNumber="1" containsInteger="1" minValue="33" maxValue="100" count="10">
        <n v="56"/>
        <n v="100"/>
        <n v="80"/>
        <n v="90"/>
        <n v="60"/>
        <n v="89"/>
        <n v="67"/>
        <n v="78"/>
        <n v="33"/>
        <n v="70"/>
      </sharedItems>
    </cacheField>
    <cacheField name="DISCOVERY" numFmtId="0">
      <sharedItems containsSemiMixedTypes="0" containsString="0" containsNumber="1" containsInteger="1" minValue="0" maxValue="100" count="6">
        <n v="80"/>
        <n v="100"/>
        <n v="0"/>
        <n v="40"/>
        <n v="60"/>
        <n v="20"/>
      </sharedItems>
    </cacheField>
    <cacheField name="RECOMMENDATIONS" numFmtId="0">
      <sharedItems containsSemiMixedTypes="0" containsString="0" containsNumber="1" containsInteger="1" minValue="0" maxValue="100" count="7">
        <n v="17"/>
        <n v="67"/>
        <n v="100"/>
        <n v="83"/>
        <n v="0"/>
        <n v="50"/>
        <n v="33"/>
      </sharedItems>
    </cacheField>
    <cacheField name="TRIAL EXPERIENCE &amp; UPSELL" numFmtId="0">
      <sharedItems containsSemiMixedTypes="0" containsString="0" containsNumber="1" containsInteger="1" minValue="0" maxValue="100" count="9">
        <n v="50"/>
        <n v="75"/>
        <n v="63"/>
        <n v="88"/>
        <n v="0"/>
        <n v="100"/>
        <n v="38"/>
        <n v="25"/>
        <n v="13"/>
      </sharedItems>
    </cacheField>
    <cacheField name="OBJECTION HANDLING" numFmtId="0">
      <sharedItems containsSemiMixedTypes="0" containsString="0" containsNumber="1" containsInteger="1" minValue="0" maxValue="100" count="4">
        <n v="0"/>
        <n v="100"/>
        <n v="33"/>
        <n v="67"/>
      </sharedItems>
    </cacheField>
    <cacheField name="CLOSURE &amp; CARE" numFmtId="0">
      <sharedItems containsSemiMixedTypes="0" containsString="0" containsNumber="1" containsInteger="1" minValue="0" maxValue="100" count="13">
        <n v="57"/>
        <n v="63"/>
        <n v="25"/>
        <n v="88"/>
        <n v="13"/>
        <n v="50"/>
        <n v="38"/>
        <n v="100"/>
        <n v="75"/>
        <n v="43"/>
        <n v="71"/>
        <n v="0"/>
        <n v="29"/>
      </sharedItems>
    </cacheField>
    <cacheField name="OVERALL EXPERIENCE" numFmtId="0">
      <sharedItems containsSemiMixedTypes="0" containsString="0" containsNumber="1" containsInteger="1" minValue="0" maxValue="100"/>
    </cacheField>
    <cacheField name="Zone" numFmtId="0">
      <sharedItems count="4">
        <s v="North"/>
        <s v="West"/>
        <s v="South"/>
        <s v="East"/>
      </sharedItems>
    </cacheField>
    <cacheField name="Performance Grade" numFmtId="0">
      <sharedItems count="4">
        <s v="Low Performer"/>
        <s v="Average Performer"/>
        <s v="High Performer"/>
        <s v="Bottom Performer"/>
      </sharedItems>
    </cacheField>
    <cacheField name="Months (Evaluation_Date)" numFmtId="0" databaseField="0">
      <fieldGroup base="1">
        <rangePr groupBy="months" startDate="2022-10-01T00:00:00" endDate="2022-10-31T00:00:00"/>
        <groupItems count="14">
          <s v="&lt;01-10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0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vin mathur" refreshedDate="45972.675510995374" backgroundQuery="1" createdVersion="8" refreshedVersion="8" minRefreshableVersion="3" recordCount="0" supportSubquery="1" supportAdvancedDrill="1" xr:uid="{FF2271F5-E18E-4438-9A4E-59AF1A77A61E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CX_Junior_BI_Analyst_Test].[Zone].[Zone]" caption="Zone" numFmtId="0" hierarchy="23" level="1">
      <sharedItems count="4">
        <s v="East"/>
        <s v="North"/>
        <s v="South"/>
        <s v="West"/>
      </sharedItems>
    </cacheField>
    <cacheField name="[Measures].[Average of Evaluation_Score 2]" caption="Average of Evaluation_Score 2" numFmtId="0" hierarchy="36" level="32767"/>
  </cacheFields>
  <cacheHierarchies count="37">
    <cacheHierarchy uniqueName="[CX_Junior BI Analyst_Test].[Evaluation_ID]" caption="Evaluation_ID" attribute="1" defaultMemberUniqueName="[CX_Junior BI Analyst_Test].[Evaluation_ID].[All]" allUniqueName="[CX_Junior BI Analyst_Test].[Evaluation_ID].[All]" dimensionUniqueName="[CX_Junior BI Analyst_Test]" displayFolder="" count="0" memberValueDatatype="20" unbalanced="0"/>
    <cacheHierarchy uniqueName="[CX_Junior BI Analyst_Test].[Evaluation_Date]" caption="Evaluation_Date" attribute="1" time="1" defaultMemberUniqueName="[CX_Junior BI Analyst_Test].[Evaluation_Date].[All]" allUniqueName="[CX_Junior BI Analyst_Test].[Evaluation_Date].[All]" dimensionUniqueName="[CX_Junior BI Analyst_Test]" displayFolder="" count="0" memberValueDatatype="7" unbalanced="0"/>
    <cacheHierarchy uniqueName="[CX_Junior BI Analyst_Test].[Evaluation_Score]" caption="Evaluation_Score" attribute="1" defaultMemberUniqueName="[CX_Junior BI Analyst_Test].[Evaluation_Score].[All]" allUniqueName="[CX_Junior BI Analyst_Test].[Evaluation_Score].[All]" dimensionUniqueName="[CX_Junior BI Analyst_Test]" displayFolder="" count="0" memberValueDatatype="20" unbalanced="0"/>
    <cacheHierarchy uniqueName="[CX_Junior BI Analyst_Test].[STORE AMBIANCE]" caption="STORE AMBIANCE" attribute="1" defaultMemberUniqueName="[CX_Junior BI Analyst_Test].[STORE AMBIANCE].[All]" allUniqueName="[CX_Junior BI Analyst_Test].[STORE AMBIANCE].[All]" dimensionUniqueName="[CX_Junior BI Analyst_Test]" displayFolder="" count="0" memberValueDatatype="20" unbalanced="0"/>
    <cacheHierarchy uniqueName="[CX_Junior BI Analyst_Test].[FIRST IMPRESSIONS]" caption="FIRST IMPRESSIONS" attribute="1" defaultMemberUniqueName="[CX_Junior BI Analyst_Test].[FIRST IMPRESSIONS].[All]" allUniqueName="[CX_Junior BI Analyst_Test].[FIRST IMPRESSIONS].[All]" dimensionUniqueName="[CX_Junior BI Analyst_Test]" displayFolder="" count="0" memberValueDatatype="20" unbalanced="0"/>
    <cacheHierarchy uniqueName="[CX_Junior BI Analyst_Test].[DISCOVERY]" caption="DISCOVERY" attribute="1" defaultMemberUniqueName="[CX_Junior BI Analyst_Test].[DISCOVERY].[All]" allUniqueName="[CX_Junior BI Analyst_Test].[DISCOVERY].[All]" dimensionUniqueName="[CX_Junior BI Analyst_Test]" displayFolder="" count="0" memberValueDatatype="20" unbalanced="0"/>
    <cacheHierarchy uniqueName="[CX_Junior BI Analyst_Test].[RECOMMENDATIONS]" caption="RECOMMENDATIONS" attribute="1" defaultMemberUniqueName="[CX_Junior BI Analyst_Test].[RECOMMENDATIONS].[All]" allUniqueName="[CX_Junior BI Analyst_Test].[RECOMMENDATIONS].[All]" dimensionUniqueName="[CX_Junior BI Analyst_Test]" displayFolder="" count="0" memberValueDatatype="20" unbalanced="0"/>
    <cacheHierarchy uniqueName="[CX_Junior BI Analyst_Test].[TRIAL EXPERIENCE &amp; UPSELL]" caption="TRIAL EXPERIENCE &amp; UPSELL" attribute="1" defaultMemberUniqueName="[CX_Junior BI Analyst_Test].[TRIAL EXPERIENCE &amp; UPSELL].[All]" allUniqueName="[CX_Junior BI Analyst_Test].[TRIAL EXPERIENCE &amp; UPSELL].[All]" dimensionUniqueName="[CX_Junior BI Analyst_Test]" displayFolder="" count="0" memberValueDatatype="20" unbalanced="0"/>
    <cacheHierarchy uniqueName="[CX_Junior BI Analyst_Test].[OBJECTION HANDLING]" caption="OBJECTION HANDLING" attribute="1" defaultMemberUniqueName="[CX_Junior BI Analyst_Test].[OBJECTION HANDLING].[All]" allUniqueName="[CX_Junior BI Analyst_Test].[OBJECTION HANDLING].[All]" dimensionUniqueName="[CX_Junior BI Analyst_Test]" displayFolder="" count="0" memberValueDatatype="20" unbalanced="0"/>
    <cacheHierarchy uniqueName="[CX_Junior BI Analyst_Test].[CLOSURE &amp; CARE]" caption="CLOSURE &amp; CARE" attribute="1" defaultMemberUniqueName="[CX_Junior BI Analyst_Test].[CLOSURE &amp; CARE].[All]" allUniqueName="[CX_Junior BI Analyst_Test].[CLOSURE &amp; CARE].[All]" dimensionUniqueName="[CX_Junior BI Analyst_Test]" displayFolder="" count="0" memberValueDatatype="20" unbalanced="0"/>
    <cacheHierarchy uniqueName="[CX_Junior BI Analyst_Test].[OVERALL EXPERIENCE]" caption="OVERALL EXPERIENCE" attribute="1" defaultMemberUniqueName="[CX_Junior BI Analyst_Test].[OVERALL EXPERIENCE].[All]" allUniqueName="[CX_Junior BI Analyst_Test].[OVERALL EXPERIENCE].[All]" dimensionUniqueName="[CX_Junior BI Analyst_Test]" displayFolder="" count="0" memberValueDatatype="20" unbalanced="0"/>
    <cacheHierarchy uniqueName="[CX_Junior BI Analyst_Test].[Zone]" caption="Zone" attribute="1" defaultMemberUniqueName="[CX_Junior BI Analyst_Test].[Zone].[All]" allUniqueName="[CX_Junior BI Analyst_Test].[Zone].[All]" dimensionUniqueName="[CX_Junior BI Analyst_Test]" displayFolder="" count="0" memberValueDatatype="130" unbalanced="0"/>
    <cacheHierarchy uniqueName="[CX_Junior_BI_Analyst_Test].[Evaluation_ID]" caption="Evaluation_ID" attribute="1" defaultMemberUniqueName="[CX_Junior_BI_Analyst_Test].[Evaluation_ID].[All]" allUniqueName="[CX_Junior_BI_Analyst_Test].[Evaluation_ID].[All]" dimensionUniqueName="[CX_Junior_BI_Analyst_Test]" displayFolder="" count="0" memberValueDatatype="20" unbalanced="0"/>
    <cacheHierarchy uniqueName="[CX_Junior_BI_Analyst_Test].[Evaluation_Date]" caption="Evaluation_Date" attribute="1" time="1" defaultMemberUniqueName="[CX_Junior_BI_Analyst_Test].[Evaluation_Date].[All]" allUniqueName="[CX_Junior_BI_Analyst_Test].[Evaluation_Date].[All]" dimensionUniqueName="[CX_Junior_BI_Analyst_Test]" displayFolder="" count="0" memberValueDatatype="7" unbalanced="0"/>
    <cacheHierarchy uniqueName="[CX_Junior_BI_Analyst_Test].[Evaluation_Score]" caption="Evaluation_Score" attribute="1" defaultMemberUniqueName="[CX_Junior_BI_Analyst_Test].[Evaluation_Score].[All]" allUniqueName="[CX_Junior_BI_Analyst_Test].[Evaluation_Score].[All]" dimensionUniqueName="[CX_Junior_BI_Analyst_Test]" displayFolder="" count="0" memberValueDatatype="20" unbalanced="0"/>
    <cacheHierarchy uniqueName="[CX_Junior_BI_Analyst_Test].[STORE AMBIANCE]" caption="STORE AMBIANCE" attribute="1" defaultMemberUniqueName="[CX_Junior_BI_Analyst_Test].[STORE AMBIANCE].[All]" allUniqueName="[CX_Junior_BI_Analyst_Test].[STORE AMBIANCE].[All]" dimensionUniqueName="[CX_Junior_BI_Analyst_Test]" displayFolder="" count="0" memberValueDatatype="20" unbalanced="0"/>
    <cacheHierarchy uniqueName="[CX_Junior_BI_Analyst_Test].[FIRST IMPRESSIONS]" caption="FIRST IMPRESSIONS" attribute="1" defaultMemberUniqueName="[CX_Junior_BI_Analyst_Test].[FIRST IMPRESSIONS].[All]" allUniqueName="[CX_Junior_BI_Analyst_Test].[FIRST IMPRESSIONS].[All]" dimensionUniqueName="[CX_Junior_BI_Analyst_Test]" displayFolder="" count="0" memberValueDatatype="20" unbalanced="0"/>
    <cacheHierarchy uniqueName="[CX_Junior_BI_Analyst_Test].[DISCOVERY]" caption="DISCOVERY" attribute="1" defaultMemberUniqueName="[CX_Junior_BI_Analyst_Test].[DISCOVERY].[All]" allUniqueName="[CX_Junior_BI_Analyst_Test].[DISCOVERY].[All]" dimensionUniqueName="[CX_Junior_BI_Analyst_Test]" displayFolder="" count="0" memberValueDatatype="20" unbalanced="0"/>
    <cacheHierarchy uniqueName="[CX_Junior_BI_Analyst_Test].[RECOMMENDATIONS]" caption="RECOMMENDATIONS" attribute="1" defaultMemberUniqueName="[CX_Junior_BI_Analyst_Test].[RECOMMENDATIONS].[All]" allUniqueName="[CX_Junior_BI_Analyst_Test].[RECOMMENDATIONS].[All]" dimensionUniqueName="[CX_Junior_BI_Analyst_Test]" displayFolder="" count="0" memberValueDatatype="20" unbalanced="0"/>
    <cacheHierarchy uniqueName="[CX_Junior_BI_Analyst_Test].[TRIAL EXPERIENCE &amp; UPSELL]" caption="TRIAL EXPERIENCE &amp; UPSELL" attribute="1" defaultMemberUniqueName="[CX_Junior_BI_Analyst_Test].[TRIAL EXPERIENCE &amp; UPSELL].[All]" allUniqueName="[CX_Junior_BI_Analyst_Test].[TRIAL EXPERIENCE &amp; UPSELL].[All]" dimensionUniqueName="[CX_Junior_BI_Analyst_Test]" displayFolder="" count="0" memberValueDatatype="20" unbalanced="0"/>
    <cacheHierarchy uniqueName="[CX_Junior_BI_Analyst_Test].[OBJECTION HANDLING]" caption="OBJECTION HANDLING" attribute="1" defaultMemberUniqueName="[CX_Junior_BI_Analyst_Test].[OBJECTION HANDLING].[All]" allUniqueName="[CX_Junior_BI_Analyst_Test].[OBJECTION HANDLING].[All]" dimensionUniqueName="[CX_Junior_BI_Analyst_Test]" displayFolder="" count="0" memberValueDatatype="20" unbalanced="0"/>
    <cacheHierarchy uniqueName="[CX_Junior_BI_Analyst_Test].[CLOSURE &amp; CARE]" caption="CLOSURE &amp; CARE" attribute="1" defaultMemberUniqueName="[CX_Junior_BI_Analyst_Test].[CLOSURE &amp; CARE].[All]" allUniqueName="[CX_Junior_BI_Analyst_Test].[CLOSURE &amp; CARE].[All]" dimensionUniqueName="[CX_Junior_BI_Analyst_Test]" displayFolder="" count="0" memberValueDatatype="20" unbalanced="0"/>
    <cacheHierarchy uniqueName="[CX_Junior_BI_Analyst_Test].[OVERALL EXPERIENCE]" caption="OVERALL EXPERIENCE" attribute="1" defaultMemberUniqueName="[CX_Junior_BI_Analyst_Test].[OVERALL EXPERIENCE].[All]" allUniqueName="[CX_Junior_BI_Analyst_Test].[OVERALL EXPERIENCE].[All]" dimensionUniqueName="[CX_Junior_BI_Analyst_Test]" displayFolder="" count="0" memberValueDatatype="20" unbalanced="0"/>
    <cacheHierarchy uniqueName="[CX_Junior_BI_Analyst_Test].[Zone]" caption="Zone" attribute="1" defaultMemberUniqueName="[CX_Junior_BI_Analyst_Test].[Zone].[All]" allUniqueName="[CX_Junior_BI_Analyst_Test].[Zone].[All]" dimensionUniqueName="[CX_Junior_BI_Analyst_Test]" displayFolder="" count="2" memberValueDatatype="130" unbalanced="0">
      <fieldsUsage count="2">
        <fieldUsage x="-1"/>
        <fieldUsage x="0"/>
      </fieldsUsage>
    </cacheHierarchy>
    <cacheHierarchy uniqueName="[CX_Junior_BI_Analyst_Test].[Performance Grade]" caption="Performance Grade" attribute="1" defaultMemberUniqueName="[CX_Junior_BI_Analyst_Test].[Performance Grade].[All]" allUniqueName="[CX_Junior_BI_Analyst_Test].[Performance Grade].[All]" dimensionUniqueName="[CX_Junior_BI_Analyst_Test]" displayFolder="" count="0" memberValueDatatype="130" unbalanced="0"/>
    <cacheHierarchy uniqueName="[Measures].[__XL_Count CX_Junior BI Analyst_Test]" caption="__XL_Count CX_Junior BI Analyst_Test" measure="1" displayFolder="" measureGroup="CX_Junior BI Analyst_Test" count="0" hidden="1"/>
    <cacheHierarchy uniqueName="[Measures].[__XL_Count CX_Junior_BI_Analyst_Test]" caption="__XL_Count CX_Junior_BI_Analyst_Test" measure="1" displayFolder="" measureGroup="CX_Junior_BI_Analyst_Test" count="0" hidden="1"/>
    <cacheHierarchy uniqueName="[Measures].[__No measures defined]" caption="__No measures defined" measure="1" displayFolder="" count="0" hidden="1"/>
    <cacheHierarchy uniqueName="[Measures].[Sum of Evaluation_ID]" caption="Sum of Evaluation_ID" measure="1" displayFolder="" measureGroup="CX_Junior BI Analyst_Tes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valuation_Score]" caption="Sum of Evaluation_Score" measure="1" displayFolder="" measureGroup="CX_Junior BI Analyst_Tes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TORE AMBIANCE]" caption="Sum of STORE AMBIANCE" measure="1" displayFolder="" measureGroup="CX_Junior BI Analyst_Tes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FIRST IMPRESSIONS]" caption="Sum of FIRST IMPRESSIONS" measure="1" displayFolder="" measureGroup="CX_Junior BI Analyst_Tes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ISCOVERY]" caption="Sum of DISCOVERY" measure="1" displayFolder="" measureGroup="CX_Junior BI Analyst_Tes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Evaluation_Score]" caption="Average of Evaluation_Score" measure="1" displayFolder="" measureGroup="CX_Junior BI Analyst_Tes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Zone]" caption="Count of Zone" measure="1" displayFolder="" measureGroup="CX_Junior BI Analyst_Test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Evaluation_Score 2]" caption="Sum of Evaluation_Score 2" measure="1" displayFolder="" measureGroup="CX_Junior_BI_Analyst_Tes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Evaluation_Score 2]" caption="Average of Evaluation_Score 2" measure="1" displayFolder="" measureGroup="CX_Junior_BI_Analyst_Te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X_Junior BI Analyst_Test" uniqueName="[CX_Junior BI Analyst_Test]" caption="CX_Junior BI Analyst_Test"/>
    <dimension name="CX_Junior_BI_Analyst_Test" uniqueName="[CX_Junior_BI_Analyst_Test]" caption="CX_Junior_BI_Analyst_Test"/>
    <dimension measure="1" name="Measures" uniqueName="[Measures]" caption="Measures"/>
  </dimensions>
  <measureGroups count="2">
    <measureGroup name="CX_Junior BI Analyst_Test" caption="CX_Junior BI Analyst_Test"/>
    <measureGroup name="CX_Junior_BI_Analyst_Test" caption="CX_Junior_BI_Analyst_Test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pivotCacheId="77082947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11078689"/>
    <x v="0"/>
    <n v="58"/>
    <x v="0"/>
    <x v="0"/>
    <x v="0"/>
    <x v="0"/>
    <x v="0"/>
    <x v="0"/>
    <x v="0"/>
    <n v="100"/>
    <x v="0"/>
    <x v="0"/>
  </r>
  <r>
    <n v="11083235"/>
    <x v="1"/>
    <n v="86"/>
    <x v="0"/>
    <x v="1"/>
    <x v="1"/>
    <x v="1"/>
    <x v="1"/>
    <x v="1"/>
    <x v="1"/>
    <n v="100"/>
    <x v="1"/>
    <x v="1"/>
  </r>
  <r>
    <n v="11083324"/>
    <x v="2"/>
    <n v="72"/>
    <x v="0"/>
    <x v="1"/>
    <x v="0"/>
    <x v="0"/>
    <x v="1"/>
    <x v="1"/>
    <x v="2"/>
    <n v="100"/>
    <x v="0"/>
    <x v="1"/>
  </r>
  <r>
    <n v="11083483"/>
    <x v="3"/>
    <n v="84"/>
    <x v="1"/>
    <x v="2"/>
    <x v="0"/>
    <x v="2"/>
    <x v="2"/>
    <x v="1"/>
    <x v="3"/>
    <n v="100"/>
    <x v="0"/>
    <x v="1"/>
  </r>
  <r>
    <n v="11083490"/>
    <x v="4"/>
    <n v="84"/>
    <x v="1"/>
    <x v="2"/>
    <x v="0"/>
    <x v="2"/>
    <x v="2"/>
    <x v="1"/>
    <x v="3"/>
    <n v="100"/>
    <x v="0"/>
    <x v="1"/>
  </r>
  <r>
    <n v="11083658"/>
    <x v="5"/>
    <n v="90"/>
    <x v="0"/>
    <x v="1"/>
    <x v="1"/>
    <x v="3"/>
    <x v="3"/>
    <x v="1"/>
    <x v="1"/>
    <n v="100"/>
    <x v="2"/>
    <x v="2"/>
  </r>
  <r>
    <n v="11083773"/>
    <x v="3"/>
    <n v="36"/>
    <x v="2"/>
    <x v="3"/>
    <x v="2"/>
    <x v="4"/>
    <x v="4"/>
    <x v="0"/>
    <x v="2"/>
    <n v="0"/>
    <x v="1"/>
    <x v="3"/>
  </r>
  <r>
    <n v="11083777"/>
    <x v="6"/>
    <n v="34"/>
    <x v="2"/>
    <x v="4"/>
    <x v="3"/>
    <x v="4"/>
    <x v="4"/>
    <x v="2"/>
    <x v="4"/>
    <n v="0"/>
    <x v="1"/>
    <x v="3"/>
  </r>
  <r>
    <n v="11083778"/>
    <x v="5"/>
    <n v="74"/>
    <x v="2"/>
    <x v="3"/>
    <x v="3"/>
    <x v="5"/>
    <x v="5"/>
    <x v="1"/>
    <x v="5"/>
    <n v="100"/>
    <x v="1"/>
    <x v="1"/>
  </r>
  <r>
    <n v="11083780"/>
    <x v="1"/>
    <n v="74"/>
    <x v="2"/>
    <x v="3"/>
    <x v="4"/>
    <x v="0"/>
    <x v="5"/>
    <x v="1"/>
    <x v="1"/>
    <n v="100"/>
    <x v="1"/>
    <x v="1"/>
  </r>
  <r>
    <n v="11083781"/>
    <x v="5"/>
    <n v="86"/>
    <x v="2"/>
    <x v="2"/>
    <x v="1"/>
    <x v="2"/>
    <x v="5"/>
    <x v="1"/>
    <x v="1"/>
    <n v="100"/>
    <x v="1"/>
    <x v="1"/>
  </r>
  <r>
    <n v="11083783"/>
    <x v="6"/>
    <n v="70"/>
    <x v="2"/>
    <x v="4"/>
    <x v="1"/>
    <x v="5"/>
    <x v="3"/>
    <x v="1"/>
    <x v="6"/>
    <n v="100"/>
    <x v="1"/>
    <x v="1"/>
  </r>
  <r>
    <n v="11083867"/>
    <x v="1"/>
    <n v="84"/>
    <x v="1"/>
    <x v="5"/>
    <x v="0"/>
    <x v="3"/>
    <x v="5"/>
    <x v="1"/>
    <x v="5"/>
    <n v="100"/>
    <x v="2"/>
    <x v="1"/>
  </r>
  <r>
    <n v="11083988"/>
    <x v="7"/>
    <n v="78"/>
    <x v="2"/>
    <x v="1"/>
    <x v="0"/>
    <x v="3"/>
    <x v="0"/>
    <x v="1"/>
    <x v="1"/>
    <n v="100"/>
    <x v="2"/>
    <x v="1"/>
  </r>
  <r>
    <n v="11084277"/>
    <x v="1"/>
    <n v="61"/>
    <x v="2"/>
    <x v="6"/>
    <x v="4"/>
    <x v="3"/>
    <x v="6"/>
    <x v="3"/>
    <x v="6"/>
    <n v="100"/>
    <x v="1"/>
    <x v="0"/>
  </r>
  <r>
    <n v="11084762"/>
    <x v="3"/>
    <n v="78"/>
    <x v="1"/>
    <x v="1"/>
    <x v="0"/>
    <x v="5"/>
    <x v="3"/>
    <x v="3"/>
    <x v="5"/>
    <n v="100"/>
    <x v="1"/>
    <x v="1"/>
  </r>
  <r>
    <n v="11084763"/>
    <x v="6"/>
    <n v="89"/>
    <x v="1"/>
    <x v="1"/>
    <x v="0"/>
    <x v="3"/>
    <x v="3"/>
    <x v="3"/>
    <x v="7"/>
    <n v="100"/>
    <x v="1"/>
    <x v="1"/>
  </r>
  <r>
    <n v="11084781"/>
    <x v="8"/>
    <n v="65"/>
    <x v="1"/>
    <x v="5"/>
    <x v="0"/>
    <x v="5"/>
    <x v="7"/>
    <x v="2"/>
    <x v="1"/>
    <n v="100"/>
    <x v="2"/>
    <x v="0"/>
  </r>
  <r>
    <n v="11084784"/>
    <x v="3"/>
    <n v="76"/>
    <x v="1"/>
    <x v="5"/>
    <x v="0"/>
    <x v="5"/>
    <x v="1"/>
    <x v="1"/>
    <x v="1"/>
    <n v="0"/>
    <x v="0"/>
    <x v="1"/>
  </r>
  <r>
    <n v="11084789"/>
    <x v="9"/>
    <n v="82"/>
    <x v="1"/>
    <x v="3"/>
    <x v="0"/>
    <x v="5"/>
    <x v="3"/>
    <x v="1"/>
    <x v="8"/>
    <n v="100"/>
    <x v="0"/>
    <x v="1"/>
  </r>
  <r>
    <n v="11084792"/>
    <x v="9"/>
    <n v="88"/>
    <x v="1"/>
    <x v="1"/>
    <x v="1"/>
    <x v="3"/>
    <x v="3"/>
    <x v="1"/>
    <x v="1"/>
    <n v="100"/>
    <x v="0"/>
    <x v="1"/>
  </r>
  <r>
    <n v="11084844"/>
    <x v="1"/>
    <n v="71"/>
    <x v="0"/>
    <x v="6"/>
    <x v="0"/>
    <x v="5"/>
    <x v="3"/>
    <x v="0"/>
    <x v="0"/>
    <n v="100"/>
    <x v="0"/>
    <x v="1"/>
  </r>
  <r>
    <n v="11084845"/>
    <x v="1"/>
    <n v="67"/>
    <x v="1"/>
    <x v="7"/>
    <x v="0"/>
    <x v="5"/>
    <x v="1"/>
    <x v="0"/>
    <x v="9"/>
    <n v="100"/>
    <x v="0"/>
    <x v="0"/>
  </r>
  <r>
    <n v="11084846"/>
    <x v="1"/>
    <n v="60"/>
    <x v="2"/>
    <x v="7"/>
    <x v="4"/>
    <x v="5"/>
    <x v="6"/>
    <x v="3"/>
    <x v="9"/>
    <n v="100"/>
    <x v="0"/>
    <x v="0"/>
  </r>
  <r>
    <n v="11084847"/>
    <x v="1"/>
    <n v="81"/>
    <x v="1"/>
    <x v="5"/>
    <x v="0"/>
    <x v="3"/>
    <x v="1"/>
    <x v="3"/>
    <x v="10"/>
    <n v="100"/>
    <x v="0"/>
    <x v="1"/>
  </r>
  <r>
    <n v="11084985"/>
    <x v="6"/>
    <n v="78"/>
    <x v="1"/>
    <x v="5"/>
    <x v="0"/>
    <x v="3"/>
    <x v="2"/>
    <x v="1"/>
    <x v="5"/>
    <n v="100"/>
    <x v="2"/>
    <x v="1"/>
  </r>
  <r>
    <n v="11085599"/>
    <x v="1"/>
    <n v="92"/>
    <x v="2"/>
    <x v="1"/>
    <x v="1"/>
    <x v="2"/>
    <x v="5"/>
    <x v="1"/>
    <x v="8"/>
    <n v="100"/>
    <x v="1"/>
    <x v="2"/>
  </r>
  <r>
    <n v="11085892"/>
    <x v="1"/>
    <n v="59"/>
    <x v="1"/>
    <x v="7"/>
    <x v="0"/>
    <x v="0"/>
    <x v="6"/>
    <x v="1"/>
    <x v="2"/>
    <n v="100"/>
    <x v="2"/>
    <x v="0"/>
  </r>
  <r>
    <n v="11085982"/>
    <x v="1"/>
    <n v="33"/>
    <x v="0"/>
    <x v="8"/>
    <x v="5"/>
    <x v="4"/>
    <x v="4"/>
    <x v="2"/>
    <x v="2"/>
    <n v="0"/>
    <x v="0"/>
    <x v="3"/>
  </r>
  <r>
    <n v="11086048"/>
    <x v="9"/>
    <n v="64"/>
    <x v="1"/>
    <x v="2"/>
    <x v="2"/>
    <x v="3"/>
    <x v="6"/>
    <x v="1"/>
    <x v="1"/>
    <n v="0"/>
    <x v="3"/>
    <x v="0"/>
  </r>
  <r>
    <n v="11086368"/>
    <x v="10"/>
    <n v="69"/>
    <x v="1"/>
    <x v="7"/>
    <x v="1"/>
    <x v="5"/>
    <x v="6"/>
    <x v="1"/>
    <x v="5"/>
    <n v="100"/>
    <x v="2"/>
    <x v="0"/>
  </r>
  <r>
    <n v="11086637"/>
    <x v="11"/>
    <n v="83"/>
    <x v="1"/>
    <x v="6"/>
    <x v="1"/>
    <x v="2"/>
    <x v="1"/>
    <x v="1"/>
    <x v="10"/>
    <n v="100"/>
    <x v="3"/>
    <x v="1"/>
  </r>
  <r>
    <n v="11087027"/>
    <x v="11"/>
    <n v="94"/>
    <x v="0"/>
    <x v="5"/>
    <x v="1"/>
    <x v="2"/>
    <x v="5"/>
    <x v="1"/>
    <x v="8"/>
    <n v="100"/>
    <x v="2"/>
    <x v="2"/>
  </r>
  <r>
    <n v="11087195"/>
    <x v="11"/>
    <n v="80"/>
    <x v="0"/>
    <x v="9"/>
    <x v="0"/>
    <x v="3"/>
    <x v="5"/>
    <x v="1"/>
    <x v="6"/>
    <n v="100"/>
    <x v="1"/>
    <x v="1"/>
  </r>
  <r>
    <n v="11090138"/>
    <x v="12"/>
    <n v="82"/>
    <x v="2"/>
    <x v="5"/>
    <x v="4"/>
    <x v="2"/>
    <x v="3"/>
    <x v="1"/>
    <x v="1"/>
    <n v="100"/>
    <x v="0"/>
    <x v="1"/>
  </r>
  <r>
    <n v="11095309"/>
    <x v="7"/>
    <n v="84"/>
    <x v="2"/>
    <x v="5"/>
    <x v="0"/>
    <x v="2"/>
    <x v="1"/>
    <x v="1"/>
    <x v="8"/>
    <n v="100"/>
    <x v="1"/>
    <x v="1"/>
  </r>
  <r>
    <n v="11095478"/>
    <x v="4"/>
    <n v="73"/>
    <x v="1"/>
    <x v="5"/>
    <x v="0"/>
    <x v="5"/>
    <x v="2"/>
    <x v="1"/>
    <x v="5"/>
    <n v="100"/>
    <x v="2"/>
    <x v="1"/>
  </r>
  <r>
    <n v="11095494"/>
    <x v="4"/>
    <n v="39"/>
    <x v="2"/>
    <x v="6"/>
    <x v="2"/>
    <x v="0"/>
    <x v="8"/>
    <x v="3"/>
    <x v="2"/>
    <n v="0"/>
    <x v="2"/>
    <x v="3"/>
  </r>
  <r>
    <n v="11095498"/>
    <x v="13"/>
    <n v="71"/>
    <x v="1"/>
    <x v="7"/>
    <x v="4"/>
    <x v="5"/>
    <x v="1"/>
    <x v="3"/>
    <x v="1"/>
    <n v="100"/>
    <x v="2"/>
    <x v="1"/>
  </r>
  <r>
    <n v="11095574"/>
    <x v="1"/>
    <n v="100"/>
    <x v="0"/>
    <x v="1"/>
    <x v="1"/>
    <x v="2"/>
    <x v="5"/>
    <x v="1"/>
    <x v="7"/>
    <n v="100"/>
    <x v="0"/>
    <x v="2"/>
  </r>
  <r>
    <n v="11095575"/>
    <x v="6"/>
    <n v="94"/>
    <x v="1"/>
    <x v="3"/>
    <x v="1"/>
    <x v="2"/>
    <x v="5"/>
    <x v="1"/>
    <x v="3"/>
    <n v="100"/>
    <x v="0"/>
    <x v="2"/>
  </r>
  <r>
    <n v="11095640"/>
    <x v="14"/>
    <n v="52"/>
    <x v="2"/>
    <x v="8"/>
    <x v="3"/>
    <x v="5"/>
    <x v="7"/>
    <x v="1"/>
    <x v="0"/>
    <n v="100"/>
    <x v="2"/>
    <x v="0"/>
  </r>
  <r>
    <n v="11095740"/>
    <x v="8"/>
    <n v="62"/>
    <x v="0"/>
    <x v="2"/>
    <x v="2"/>
    <x v="5"/>
    <x v="0"/>
    <x v="1"/>
    <x v="5"/>
    <n v="0"/>
    <x v="3"/>
    <x v="0"/>
  </r>
  <r>
    <n v="11095745"/>
    <x v="4"/>
    <n v="94"/>
    <x v="0"/>
    <x v="1"/>
    <x v="1"/>
    <x v="2"/>
    <x v="5"/>
    <x v="1"/>
    <x v="1"/>
    <n v="100"/>
    <x v="3"/>
    <x v="2"/>
  </r>
  <r>
    <n v="11095940"/>
    <x v="15"/>
    <n v="86"/>
    <x v="0"/>
    <x v="1"/>
    <x v="1"/>
    <x v="1"/>
    <x v="2"/>
    <x v="1"/>
    <x v="8"/>
    <n v="100"/>
    <x v="1"/>
    <x v="1"/>
  </r>
  <r>
    <n v="11095982"/>
    <x v="12"/>
    <n v="94"/>
    <x v="0"/>
    <x v="1"/>
    <x v="1"/>
    <x v="1"/>
    <x v="5"/>
    <x v="1"/>
    <x v="3"/>
    <n v="100"/>
    <x v="0"/>
    <x v="2"/>
  </r>
  <r>
    <n v="11096780"/>
    <x v="7"/>
    <n v="41"/>
    <x v="2"/>
    <x v="7"/>
    <x v="2"/>
    <x v="6"/>
    <x v="7"/>
    <x v="2"/>
    <x v="11"/>
    <n v="100"/>
    <x v="3"/>
    <x v="3"/>
  </r>
  <r>
    <n v="11096807"/>
    <x v="16"/>
    <n v="69"/>
    <x v="0"/>
    <x v="6"/>
    <x v="0"/>
    <x v="5"/>
    <x v="3"/>
    <x v="0"/>
    <x v="5"/>
    <n v="100"/>
    <x v="0"/>
    <x v="0"/>
  </r>
  <r>
    <n v="11097708"/>
    <x v="16"/>
    <n v="69"/>
    <x v="0"/>
    <x v="7"/>
    <x v="0"/>
    <x v="5"/>
    <x v="1"/>
    <x v="0"/>
    <x v="5"/>
    <n v="100"/>
    <x v="0"/>
    <x v="0"/>
  </r>
  <r>
    <n v="11097750"/>
    <x v="7"/>
    <n v="61"/>
    <x v="2"/>
    <x v="5"/>
    <x v="2"/>
    <x v="3"/>
    <x v="6"/>
    <x v="1"/>
    <x v="6"/>
    <n v="100"/>
    <x v="2"/>
    <x v="0"/>
  </r>
  <r>
    <n v="11097814"/>
    <x v="4"/>
    <n v="92"/>
    <x v="0"/>
    <x v="1"/>
    <x v="1"/>
    <x v="2"/>
    <x v="1"/>
    <x v="1"/>
    <x v="8"/>
    <n v="100"/>
    <x v="1"/>
    <x v="2"/>
  </r>
  <r>
    <n v="11098282"/>
    <x v="12"/>
    <n v="96"/>
    <x v="0"/>
    <x v="1"/>
    <x v="0"/>
    <x v="3"/>
    <x v="5"/>
    <x v="1"/>
    <x v="7"/>
    <n v="100"/>
    <x v="3"/>
    <x v="2"/>
  </r>
  <r>
    <n v="11099765"/>
    <x v="4"/>
    <n v="34"/>
    <x v="1"/>
    <x v="9"/>
    <x v="2"/>
    <x v="4"/>
    <x v="4"/>
    <x v="3"/>
    <x v="11"/>
    <n v="0"/>
    <x v="1"/>
    <x v="3"/>
  </r>
  <r>
    <n v="11099886"/>
    <x v="17"/>
    <n v="53"/>
    <x v="1"/>
    <x v="7"/>
    <x v="5"/>
    <x v="5"/>
    <x v="8"/>
    <x v="3"/>
    <x v="6"/>
    <n v="100"/>
    <x v="2"/>
    <x v="0"/>
  </r>
  <r>
    <n v="11106986"/>
    <x v="18"/>
    <n v="94"/>
    <x v="0"/>
    <x v="1"/>
    <x v="1"/>
    <x v="3"/>
    <x v="5"/>
    <x v="1"/>
    <x v="8"/>
    <n v="100"/>
    <x v="0"/>
    <x v="2"/>
  </r>
  <r>
    <n v="11107721"/>
    <x v="19"/>
    <n v="61"/>
    <x v="2"/>
    <x v="6"/>
    <x v="3"/>
    <x v="5"/>
    <x v="3"/>
    <x v="2"/>
    <x v="6"/>
    <n v="100"/>
    <x v="3"/>
    <x v="0"/>
  </r>
  <r>
    <n v="11108719"/>
    <x v="19"/>
    <n v="88"/>
    <x v="2"/>
    <x v="1"/>
    <x v="0"/>
    <x v="2"/>
    <x v="5"/>
    <x v="1"/>
    <x v="1"/>
    <n v="100"/>
    <x v="2"/>
    <x v="1"/>
  </r>
  <r>
    <n v="11108736"/>
    <x v="20"/>
    <n v="77"/>
    <x v="0"/>
    <x v="5"/>
    <x v="0"/>
    <x v="0"/>
    <x v="5"/>
    <x v="1"/>
    <x v="0"/>
    <n v="0"/>
    <x v="2"/>
    <x v="1"/>
  </r>
  <r>
    <n v="11108784"/>
    <x v="20"/>
    <n v="33"/>
    <x v="2"/>
    <x v="0"/>
    <x v="5"/>
    <x v="4"/>
    <x v="4"/>
    <x v="2"/>
    <x v="12"/>
    <n v="0"/>
    <x v="2"/>
    <x v="3"/>
  </r>
  <r>
    <n v="11108785"/>
    <x v="20"/>
    <n v="35"/>
    <x v="2"/>
    <x v="6"/>
    <x v="3"/>
    <x v="4"/>
    <x v="4"/>
    <x v="0"/>
    <x v="2"/>
    <n v="0"/>
    <x v="2"/>
    <x v="3"/>
  </r>
  <r>
    <n v="11108850"/>
    <x v="21"/>
    <n v="65"/>
    <x v="1"/>
    <x v="7"/>
    <x v="3"/>
    <x v="5"/>
    <x v="2"/>
    <x v="3"/>
    <x v="9"/>
    <n v="10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6E0DA-763F-4C35-B4E8-0E9D0C6DD736}" name="PivotChartTable1" cacheId="2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valuation_Score" fld="1" subtotal="average" baseField="0" baseItem="0"/>
  </dataFields>
  <chartFormats count="1">
    <chartFormat chart="6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Evaluation_Score"/>
  </pivotHierarchies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770829470">
        <x15:pivotRow count="1">
          <x15:c>
            <x15:v>71.571428571428569</x15:v>
          </x15:c>
        </x15:pivotRow>
        <x15:pivotRow count="1">
          <x15:c>
            <x15:v>76.736842105263165</x15:v>
          </x15:c>
        </x15:pivotRow>
        <x15:pivotRow count="1">
          <x15:c>
            <x15:v>66.611111111111114</x15:v>
          </x15:c>
        </x15:pivotRow>
        <x15:pivotRow count="1">
          <x15:c>
            <x15:v>71.82352941176471</x15:v>
          </x15:c>
        </x15:pivotRow>
        <x15:pivotRow count="1">
          <x15:c>
            <x15:v>71.786885245901644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X_Junior_BI_Analyst_Te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8C298-0E2B-4736-A976-9DF420ECF4D2}" name="PivotTable1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9" firstHeaderRow="1" firstDataRow="2" firstDataCol="1"/>
  <pivotFields count="14">
    <pivotField dataField="1" showAll="0"/>
    <pivotField numFmtId="14" showAll="0">
      <items count="23">
        <item x="0"/>
        <item x="3"/>
        <item x="11"/>
        <item x="1"/>
        <item x="9"/>
        <item x="6"/>
        <item x="5"/>
        <item x="8"/>
        <item x="2"/>
        <item x="7"/>
        <item x="16"/>
        <item x="15"/>
        <item x="4"/>
        <item x="14"/>
        <item x="12"/>
        <item x="13"/>
        <item x="10"/>
        <item x="17"/>
        <item x="18"/>
        <item x="19"/>
        <item x="21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axis="axisCol" showAll="0" sortType="descending">
      <items count="5">
        <item h="1" x="0"/>
        <item x="2"/>
        <item x="3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4">
    <i>
      <x v="1"/>
    </i>
    <i>
      <x v="2"/>
    </i>
    <i>
      <x v="3"/>
    </i>
    <i t="grand">
      <x/>
    </i>
  </colItems>
  <dataFields count="1">
    <dataField name="Count of Evaluation_ID" fld="0" subtotal="count" showDataAs="percentOfRow" baseField="11" baseItem="0" numFmtId="10"/>
  </dataFields>
  <chartFormats count="15"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24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</references>
      </pivotArea>
    </chartFormat>
    <chartFormat chart="7" format="2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1"/>
          </reference>
        </references>
      </pivotArea>
    </chartFormat>
    <chartFormat chart="7" format="26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1"/>
          </reference>
        </references>
      </pivotArea>
    </chartFormat>
    <chartFormat chart="7" format="27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1"/>
          </reference>
        </references>
      </pivotArea>
    </chartFormat>
    <chartFormat chart="7" format="2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29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2" count="1" selected="0">
            <x v="2"/>
          </reference>
        </references>
      </pivotArea>
    </chartFormat>
    <chartFormat chart="7" format="3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2"/>
          </reference>
        </references>
      </pivotArea>
    </chartFormat>
    <chartFormat chart="7" format="3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2"/>
          </reference>
        </references>
      </pivotArea>
    </chartFormat>
    <chartFormat chart="7" format="32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</references>
      </pivotArea>
    </chartFormat>
    <chartFormat chart="7" format="3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7" format="34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2" count="1" selected="0">
            <x v="3"/>
          </reference>
        </references>
      </pivotArea>
    </chartFormat>
    <chartFormat chart="7" format="3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3"/>
          </reference>
        </references>
      </pivotArea>
    </chartFormat>
    <chartFormat chart="7" format="36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3"/>
          </reference>
        </references>
      </pivotArea>
    </chartFormat>
    <chartFormat chart="7" format="37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3A793-B9D1-4139-AD50-6D486D0362E2}" name="PivotTable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6" firstHeaderRow="1" firstDataRow="1" firstDataCol="1"/>
  <pivotFields count="14">
    <pivotField showAll="0"/>
    <pivotField axis="axisRow" numFmtId="14" showAll="0">
      <items count="23">
        <item x="0"/>
        <item x="3"/>
        <item x="11"/>
        <item x="1"/>
        <item x="9"/>
        <item x="6"/>
        <item x="5"/>
        <item x="8"/>
        <item x="2"/>
        <item x="7"/>
        <item x="16"/>
        <item x="15"/>
        <item x="4"/>
        <item x="14"/>
        <item x="12"/>
        <item x="13"/>
        <item x="10"/>
        <item x="17"/>
        <item x="18"/>
        <item x="19"/>
        <item x="21"/>
        <item x="2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Average of Evaluation_Score" fld="2" subtotal="average" baseField="1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C949E-44C8-418B-8A75-FF9E8E6EF2BE}" name="PivotTable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8" firstHeaderRow="0" firstDataRow="1" firstDataCol="1"/>
  <pivotFields count="14">
    <pivotField showAll="0"/>
    <pivotField numFmtId="14" showAll="0">
      <items count="23">
        <item x="0"/>
        <item x="3"/>
        <item x="11"/>
        <item x="1"/>
        <item x="9"/>
        <item x="6"/>
        <item x="5"/>
        <item x="8"/>
        <item x="2"/>
        <item x="7"/>
        <item x="16"/>
        <item x="15"/>
        <item x="4"/>
        <item x="14"/>
        <item x="12"/>
        <item x="13"/>
        <item x="10"/>
        <item x="17"/>
        <item x="18"/>
        <item x="19"/>
        <item x="21"/>
        <item x="20"/>
        <item t="default"/>
      </items>
    </pivotField>
    <pivotField showAll="0"/>
    <pivotField dataField="1" showAll="0">
      <items count="4">
        <item x="2"/>
        <item x="1"/>
        <item x="0"/>
        <item t="default"/>
      </items>
    </pivotField>
    <pivotField dataField="1" showAll="0">
      <items count="11">
        <item x="8"/>
        <item x="0"/>
        <item x="4"/>
        <item x="6"/>
        <item x="9"/>
        <item x="7"/>
        <item x="2"/>
        <item x="5"/>
        <item x="3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verage of DISCOVERY" fld="5" subtotal="average" baseField="11" baseItem="0"/>
    <dataField name="Sum of STORE AMBIANCE" fld="3" baseField="0" baseItem="0"/>
    <dataField name="Sum of FIRST IMPRESSIONS" fld="4" baseField="0" baseItem="0"/>
    <dataField name="Average of OBJECTION HANDLING" fld="8" subtotal="average" baseField="11" baseItem="0"/>
    <dataField name="Average of RECOMMENDATIONS" fld="6" subtotal="average" baseField="11" baseItem="0"/>
    <dataField name="Average of CLOSURE &amp; CARE" fld="9" subtotal="average" baseField="11" baseItem="0"/>
    <dataField name="Average of TRIAL EXPERIENCE &amp; UPSELL" fld="7" subtotal="average" baseField="11" baseItem="0"/>
  </dataFields>
  <conditionalFormats count="7">
    <conditionalFormat priority="7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C8CE7-F956-41ED-B429-E77A27A98174}" name="PivotTable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27" firstHeaderRow="1" firstDataRow="2" firstDataCol="1"/>
  <pivotFields count="14">
    <pivotField showAll="0"/>
    <pivotField numFmtId="14" showAll="0">
      <items count="23">
        <item x="0"/>
        <item x="3"/>
        <item x="11"/>
        <item x="1"/>
        <item x="9"/>
        <item x="6"/>
        <item x="5"/>
        <item x="8"/>
        <item x="2"/>
        <item x="7"/>
        <item x="16"/>
        <item x="15"/>
        <item x="4"/>
        <item x="14"/>
        <item x="12"/>
        <item x="13"/>
        <item x="10"/>
        <item x="17"/>
        <item x="18"/>
        <item x="19"/>
        <item x="21"/>
        <item x="20"/>
        <item t="default"/>
      </items>
    </pivotField>
    <pivotField showAll="0"/>
    <pivotField dataField="1" showAll="0">
      <items count="4">
        <item x="2"/>
        <item x="1"/>
        <item x="0"/>
        <item t="default"/>
      </items>
    </pivotField>
    <pivotField axis="axisRow" showAll="0" sortType="descending">
      <items count="11">
        <item x="1"/>
        <item x="3"/>
        <item x="5"/>
        <item x="2"/>
        <item x="7"/>
        <item x="9"/>
        <item x="6"/>
        <item x="4"/>
        <item x="0"/>
        <item x="8"/>
        <item t="default"/>
      </items>
    </pivotField>
    <pivotField axis="axisRow" showAll="0" sortType="descending">
      <items count="7">
        <item x="1"/>
        <item x="0"/>
        <item x="4"/>
        <item x="3"/>
        <item x="5"/>
        <item x="2"/>
        <item t="default"/>
      </items>
    </pivotField>
    <pivotField axis="axisRow" showAll="0">
      <items count="8">
        <item x="4"/>
        <item x="0"/>
        <item x="6"/>
        <item x="5"/>
        <item x="1"/>
        <item x="3"/>
        <item x="2"/>
        <item t="default"/>
      </items>
    </pivotField>
    <pivotField axis="axisRow" showAll="0">
      <items count="10">
        <item x="4"/>
        <item x="8"/>
        <item x="7"/>
        <item x="6"/>
        <item x="0"/>
        <item x="2"/>
        <item x="1"/>
        <item x="3"/>
        <item x="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axis="axisRow" showAll="0" sortType="descending">
      <items count="14">
        <item x="7"/>
        <item x="3"/>
        <item x="8"/>
        <item x="10"/>
        <item x="1"/>
        <item x="0"/>
        <item x="5"/>
        <item x="9"/>
        <item x="6"/>
        <item x="12"/>
        <item x="2"/>
        <item x="4"/>
        <item x="11"/>
        <item t="default"/>
      </items>
    </pivotField>
    <pivotField showAll="0"/>
    <pivotField showAll="0"/>
    <pivotField axis="axisCol" multipleItemSelectionAllowed="1" showAll="0">
      <items count="5">
        <item h="1" x="1"/>
        <item h="1" x="3"/>
        <item x="2"/>
        <item x="0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6">
    <field x="5"/>
    <field x="4"/>
    <field x="9"/>
    <field x="6"/>
    <field x="8"/>
    <field x="7"/>
  </rowFields>
  <rowItems count="123">
    <i>
      <x/>
    </i>
    <i r="1">
      <x/>
    </i>
    <i r="2">
      <x/>
    </i>
    <i r="3">
      <x v="6"/>
    </i>
    <i r="4">
      <x v="3"/>
    </i>
    <i r="5">
      <x v="8"/>
    </i>
    <i r="2">
      <x v="1"/>
    </i>
    <i r="3">
      <x v="4"/>
    </i>
    <i r="4">
      <x v="3"/>
    </i>
    <i r="5">
      <x v="8"/>
    </i>
    <i r="2">
      <x v="2"/>
    </i>
    <i r="3">
      <x v="5"/>
    </i>
    <i r="4">
      <x v="3"/>
    </i>
    <i r="5">
      <x v="8"/>
    </i>
    <i r="3">
      <x v="6"/>
    </i>
    <i r="4">
      <x v="3"/>
    </i>
    <i r="5">
      <x v="6"/>
    </i>
    <i r="5">
      <x v="8"/>
    </i>
    <i r="2">
      <x v="4"/>
    </i>
    <i r="3">
      <x v="5"/>
    </i>
    <i r="4">
      <x v="3"/>
    </i>
    <i r="5">
      <x v="7"/>
    </i>
    <i r="3">
      <x v="6"/>
    </i>
    <i r="4">
      <x v="3"/>
    </i>
    <i r="5">
      <x v="8"/>
    </i>
    <i r="1">
      <x v="1"/>
    </i>
    <i r="2">
      <x v="1"/>
    </i>
    <i r="3">
      <x v="6"/>
    </i>
    <i r="4">
      <x v="3"/>
    </i>
    <i r="5">
      <x v="8"/>
    </i>
    <i r="1">
      <x v="2"/>
    </i>
    <i r="2">
      <x v="2"/>
    </i>
    <i r="3">
      <x v="6"/>
    </i>
    <i r="4">
      <x v="3"/>
    </i>
    <i r="5">
      <x v="8"/>
    </i>
    <i r="1">
      <x v="4"/>
    </i>
    <i r="2">
      <x v="6"/>
    </i>
    <i r="3">
      <x v="3"/>
    </i>
    <i r="4">
      <x v="3"/>
    </i>
    <i r="5">
      <x v="3"/>
    </i>
    <i>
      <x v="1"/>
    </i>
    <i r="1">
      <x/>
    </i>
    <i r="2">
      <x/>
    </i>
    <i r="3">
      <x v="5"/>
    </i>
    <i r="4">
      <x v="3"/>
    </i>
    <i r="5">
      <x v="8"/>
    </i>
    <i r="1">
      <x v="2"/>
    </i>
    <i r="2">
      <x v="4"/>
    </i>
    <i r="3">
      <x v="3"/>
    </i>
    <i r="4">
      <x v="1"/>
    </i>
    <i r="5">
      <x v="2"/>
    </i>
    <i r="1">
      <x v="4"/>
    </i>
    <i r="2">
      <x v="6"/>
    </i>
    <i r="3">
      <x v="3"/>
    </i>
    <i r="4">
      <x/>
    </i>
    <i r="5">
      <x v="6"/>
    </i>
    <i r="2">
      <x v="7"/>
    </i>
    <i r="3">
      <x v="3"/>
    </i>
    <i r="4">
      <x/>
    </i>
    <i r="5">
      <x v="6"/>
    </i>
    <i r="2">
      <x v="10"/>
    </i>
    <i r="3">
      <x v="1"/>
    </i>
    <i r="4">
      <x v="3"/>
    </i>
    <i r="5">
      <x v="3"/>
    </i>
    <i r="1">
      <x v="6"/>
    </i>
    <i r="2">
      <x v="6"/>
    </i>
    <i r="3">
      <x v="3"/>
    </i>
    <i r="4">
      <x/>
    </i>
    <i r="5">
      <x v="7"/>
    </i>
    <i r="1">
      <x v="8"/>
    </i>
    <i r="2">
      <x v="5"/>
    </i>
    <i r="3">
      <x v="1"/>
    </i>
    <i r="4">
      <x/>
    </i>
    <i r="5">
      <x v="4"/>
    </i>
    <i>
      <x v="2"/>
    </i>
    <i r="1">
      <x v="4"/>
    </i>
    <i r="2">
      <x v="7"/>
    </i>
    <i r="3">
      <x v="3"/>
    </i>
    <i r="4">
      <x v="2"/>
    </i>
    <i r="5">
      <x v="3"/>
    </i>
    <i r="1">
      <x v="6"/>
    </i>
    <i r="2">
      <x v="8"/>
    </i>
    <i r="3">
      <x v="5"/>
    </i>
    <i r="4">
      <x v="2"/>
    </i>
    <i r="5">
      <x v="3"/>
    </i>
    <i>
      <x v="3"/>
    </i>
    <i r="1">
      <x v="4"/>
    </i>
    <i r="2">
      <x v="7"/>
    </i>
    <i r="3">
      <x v="3"/>
    </i>
    <i r="4">
      <x v="2"/>
    </i>
    <i r="5">
      <x v="5"/>
    </i>
    <i r="1">
      <x v="6"/>
    </i>
    <i r="2">
      <x v="8"/>
    </i>
    <i r="3">
      <x v="3"/>
    </i>
    <i r="4">
      <x v="1"/>
    </i>
    <i r="5">
      <x v="7"/>
    </i>
    <i r="1">
      <x v="9"/>
    </i>
    <i r="2">
      <x v="5"/>
    </i>
    <i r="3">
      <x v="3"/>
    </i>
    <i r="4">
      <x v="3"/>
    </i>
    <i r="5">
      <x v="2"/>
    </i>
    <i>
      <x v="4"/>
    </i>
    <i r="1">
      <x v="4"/>
    </i>
    <i r="2">
      <x v="8"/>
    </i>
    <i r="3">
      <x v="3"/>
    </i>
    <i r="4">
      <x v="2"/>
    </i>
    <i r="5">
      <x v="1"/>
    </i>
    <i>
      <x v="5"/>
    </i>
    <i r="1">
      <x v="2"/>
    </i>
    <i r="2">
      <x v="8"/>
    </i>
    <i r="3">
      <x v="5"/>
    </i>
    <i r="4">
      <x v="3"/>
    </i>
    <i r="5">
      <x v="3"/>
    </i>
    <i r="1">
      <x v="3"/>
    </i>
    <i r="2">
      <x v="4"/>
    </i>
    <i r="3">
      <x v="5"/>
    </i>
    <i r="4">
      <x v="3"/>
    </i>
    <i r="5">
      <x v="3"/>
    </i>
    <i r="2">
      <x v="6"/>
    </i>
    <i r="3">
      <x v="3"/>
    </i>
    <i r="4">
      <x v="3"/>
    </i>
    <i r="5">
      <x v="4"/>
    </i>
    <i t="grand">
      <x/>
    </i>
  </rowItems>
  <colFields count="1">
    <field x="12"/>
  </colFields>
  <colItems count="3">
    <i>
      <x v="2"/>
    </i>
    <i>
      <x v="3"/>
    </i>
    <i t="grand">
      <x/>
    </i>
  </colItems>
  <dataFields count="1">
    <dataField name="Average of STORE AMBIANCE" fld="3" subtotal="average" baseField="4" baseItem="0"/>
  </dataField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8574F65-DC77-4DB3-9CF2-E5A341F25994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Evaluation_ID" tableColumnId="1"/>
      <queryTableField id="2" name="Evaluation_Date" tableColumnId="2"/>
      <queryTableField id="3" name="Evaluation_Score" tableColumnId="3"/>
      <queryTableField id="4" name="STORE AMBIANCE" tableColumnId="4"/>
      <queryTableField id="5" name="FIRST IMPRESSIONS" tableColumnId="5"/>
      <queryTableField id="6" name="DISCOVERY" tableColumnId="6"/>
      <queryTableField id="7" name="RECOMMENDATIONS" tableColumnId="7"/>
      <queryTableField id="8" name="TRIAL EXPERIENCE &amp; UPSELL" tableColumnId="8"/>
      <queryTableField id="9" name="OBJECTION HANDLING" tableColumnId="9"/>
      <queryTableField id="10" name="CLOSURE &amp; CARE" tableColumnId="10"/>
      <queryTableField id="11" name="OVERALL EXPERIENCE" tableColumnId="11"/>
      <queryTableField id="12" name="Zone" tableColumnId="12"/>
      <queryTableField id="13" dataBound="0" tableColumnId="13"/>
    </queryTableFields>
  </queryTableRefresh>
  <extLst>
    <ext xmlns:x15="http://schemas.microsoft.com/office/spreadsheetml/2010/11/main" uri="{883FBD77-0823-4a55-B5E3-86C4891E6966}">
      <x15:queryTable sourceDataName="Query - CX_Junior BI Analyst_Tes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005FA1-D1C4-4760-855B-2DCB89702B3F}" name="CX_Junior_BI_Analyst_Test" displayName="CX_Junior_BI_Analyst_Test" ref="A1:M62" tableType="queryTable" totalsRowShown="0">
  <autoFilter ref="A1:M62" xr:uid="{DB005FA1-D1C4-4760-855B-2DCB89702B3F}"/>
  <sortState xmlns:xlrd2="http://schemas.microsoft.com/office/spreadsheetml/2017/richdata2" ref="A2:M62">
    <sortCondition descending="1" ref="C1:C62"/>
  </sortState>
  <tableColumns count="13">
    <tableColumn id="1" xr3:uid="{B5AF8E9E-EA74-478A-A4BB-39CE805A1843}" uniqueName="1" name="Evaluation_ID" queryTableFieldId="1"/>
    <tableColumn id="2" xr3:uid="{7DB7196E-D1B0-475B-B22F-793B5ECBA1A4}" uniqueName="2" name="Evaluation_Date" queryTableFieldId="2" dataDxfId="0"/>
    <tableColumn id="3" xr3:uid="{D613B338-584E-4FCE-A5A0-D49D8559F6C1}" uniqueName="3" name="Evaluation_Score" queryTableFieldId="3" dataDxfId="3"/>
    <tableColumn id="4" xr3:uid="{6FB48525-7049-4912-BB1A-44F11DD921BC}" uniqueName="4" name="STORE AMBIANCE" queryTableFieldId="4"/>
    <tableColumn id="5" xr3:uid="{6B38D760-BFE9-4814-AC74-A9E2A65E0042}" uniqueName="5" name="FIRST IMPRESSIONS" queryTableFieldId="5"/>
    <tableColumn id="6" xr3:uid="{4C1C0D5B-5FE1-480F-8C4D-0470F9C7BC65}" uniqueName="6" name="DISCOVERY" queryTableFieldId="6"/>
    <tableColumn id="7" xr3:uid="{5D9ED230-2905-4E70-BC7F-035C1B539976}" uniqueName="7" name="RECOMMENDATIONS" queryTableFieldId="7"/>
    <tableColumn id="8" xr3:uid="{6E1424E6-D99C-45FF-B5EE-ED55F99BD140}" uniqueName="8" name="TRIAL EXPERIENCE &amp; UPSELL" queryTableFieldId="8"/>
    <tableColumn id="9" xr3:uid="{A3DE27D1-475A-4823-BA78-67AE4076895C}" uniqueName="9" name="OBJECTION HANDLING" queryTableFieldId="9"/>
    <tableColumn id="10" xr3:uid="{28FB3836-F62D-4CA9-9A71-93FA5F3D1D54}" uniqueName="10" name="CLOSURE &amp; CARE" queryTableFieldId="10"/>
    <tableColumn id="11" xr3:uid="{4FC75792-B3AD-410B-88B3-BF8CB40A4CE8}" uniqueName="11" name="OVERALL EXPERIENCE" queryTableFieldId="11"/>
    <tableColumn id="12" xr3:uid="{3C324111-1F41-4F26-A61A-80F54428972C}" uniqueName="12" name="Zone" queryTableFieldId="12" dataDxfId="2"/>
    <tableColumn id="13" xr3:uid="{04D3009D-34A1-4556-821D-9D524AD0CD9F}" uniqueName="13" name="Performance Grade" queryTableFieldId="13" dataDxfId="1">
      <calculatedColumnFormula>IF(C2&gt;=90, "High Performer", IF(C2&gt;=70, "Average Performer", IF(C2&gt;=50, "Low Performer", "Bottom Performer")))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466E-5002-4745-BA7A-BE44D4C596B4}">
  <dimension ref="A3:E9"/>
  <sheetViews>
    <sheetView workbookViewId="0">
      <selection activeCell="B3" sqref="B3"/>
    </sheetView>
  </sheetViews>
  <sheetFormatPr defaultRowHeight="14.5" x14ac:dyDescent="0.35"/>
  <cols>
    <col min="1" max="1" width="20.36328125" bestFit="1" customWidth="1"/>
    <col min="2" max="2" width="15.26953125" bestFit="1" customWidth="1"/>
    <col min="3" max="3" width="16.36328125" bestFit="1" customWidth="1"/>
    <col min="4" max="4" width="16.7265625" bestFit="1" customWidth="1"/>
    <col min="5" max="6" width="10.7265625" bestFit="1" customWidth="1"/>
  </cols>
  <sheetData>
    <row r="3" spans="1:5" x14ac:dyDescent="0.35">
      <c r="A3" s="1" t="s">
        <v>24</v>
      </c>
      <c r="B3" s="1" t="s">
        <v>0</v>
      </c>
    </row>
    <row r="4" spans="1:5" x14ac:dyDescent="0.35">
      <c r="A4" s="1" t="s">
        <v>19</v>
      </c>
      <c r="B4" t="s">
        <v>22</v>
      </c>
      <c r="C4" t="s">
        <v>21</v>
      </c>
      <c r="D4" t="s">
        <v>20</v>
      </c>
      <c r="E4" t="s">
        <v>1</v>
      </c>
    </row>
    <row r="5" spans="1:5" x14ac:dyDescent="0.35">
      <c r="A5" s="3" t="s">
        <v>17</v>
      </c>
      <c r="B5" s="4">
        <v>0.5</v>
      </c>
      <c r="C5" s="4">
        <v>0.25</v>
      </c>
      <c r="D5" s="4">
        <v>0.25</v>
      </c>
      <c r="E5" s="4">
        <v>1</v>
      </c>
    </row>
    <row r="6" spans="1:5" x14ac:dyDescent="0.35">
      <c r="A6" s="3" t="s">
        <v>14</v>
      </c>
      <c r="B6" s="4">
        <v>0.2857142857142857</v>
      </c>
      <c r="C6" s="4">
        <v>7.1428571428571425E-2</v>
      </c>
      <c r="D6" s="4">
        <v>0.6428571428571429</v>
      </c>
      <c r="E6" s="4">
        <v>1</v>
      </c>
    </row>
    <row r="7" spans="1:5" x14ac:dyDescent="0.35">
      <c r="A7" s="3" t="s">
        <v>16</v>
      </c>
      <c r="B7" s="4">
        <v>0.16666666666666666</v>
      </c>
      <c r="C7" s="4">
        <v>0.25</v>
      </c>
      <c r="D7" s="4">
        <v>0.58333333333333337</v>
      </c>
      <c r="E7" s="4">
        <v>1</v>
      </c>
    </row>
    <row r="8" spans="1:5" x14ac:dyDescent="0.35">
      <c r="A8" s="3" t="s">
        <v>15</v>
      </c>
      <c r="B8" s="4">
        <v>0.13333333333333333</v>
      </c>
      <c r="C8" s="4">
        <v>0.2</v>
      </c>
      <c r="D8" s="4">
        <v>0.66666666666666663</v>
      </c>
      <c r="E8" s="4">
        <v>1</v>
      </c>
    </row>
    <row r="9" spans="1:5" x14ac:dyDescent="0.35">
      <c r="A9" s="3" t="s">
        <v>1</v>
      </c>
      <c r="B9" s="4">
        <v>0.22222222222222221</v>
      </c>
      <c r="C9" s="4">
        <v>0.17777777777777778</v>
      </c>
      <c r="D9" s="4">
        <v>0.6</v>
      </c>
      <c r="E9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8D08-B7FB-4AB9-A995-A4D813FE46B6}">
  <dimension ref="A3:B26"/>
  <sheetViews>
    <sheetView workbookViewId="0">
      <selection activeCell="O16" sqref="O16"/>
    </sheetView>
  </sheetViews>
  <sheetFormatPr defaultRowHeight="14.5" x14ac:dyDescent="0.35"/>
  <cols>
    <col min="1" max="1" width="12.36328125" bestFit="1" customWidth="1"/>
    <col min="2" max="2" width="24.81640625" bestFit="1" customWidth="1"/>
  </cols>
  <sheetData>
    <row r="3" spans="1:2" x14ac:dyDescent="0.35">
      <c r="A3" s="1" t="s">
        <v>19</v>
      </c>
      <c r="B3" t="s">
        <v>25</v>
      </c>
    </row>
    <row r="4" spans="1:2" x14ac:dyDescent="0.35">
      <c r="A4" s="5">
        <v>44835</v>
      </c>
      <c r="B4" s="6">
        <v>58</v>
      </c>
    </row>
    <row r="5" spans="1:2" x14ac:dyDescent="0.35">
      <c r="A5" s="5">
        <v>44840</v>
      </c>
      <c r="B5" s="6">
        <v>68.5</v>
      </c>
    </row>
    <row r="6" spans="1:2" x14ac:dyDescent="0.35">
      <c r="A6" s="5">
        <v>44841</v>
      </c>
      <c r="B6" s="6">
        <v>85.666666666666671</v>
      </c>
    </row>
    <row r="7" spans="1:2" x14ac:dyDescent="0.35">
      <c r="A7" s="5">
        <v>44842</v>
      </c>
      <c r="B7" s="6">
        <v>72.333333333333329</v>
      </c>
    </row>
    <row r="8" spans="1:2" x14ac:dyDescent="0.35">
      <c r="A8" s="5">
        <v>44844</v>
      </c>
      <c r="B8" s="6">
        <v>78</v>
      </c>
    </row>
    <row r="9" spans="1:2" x14ac:dyDescent="0.35">
      <c r="A9" s="5">
        <v>44845</v>
      </c>
      <c r="B9" s="6">
        <v>73</v>
      </c>
    </row>
    <row r="10" spans="1:2" x14ac:dyDescent="0.35">
      <c r="A10" s="5">
        <v>44846</v>
      </c>
      <c r="B10" s="6">
        <v>83.333333333333329</v>
      </c>
    </row>
    <row r="11" spans="1:2" x14ac:dyDescent="0.35">
      <c r="A11" s="5">
        <v>44847</v>
      </c>
      <c r="B11" s="6">
        <v>63.5</v>
      </c>
    </row>
    <row r="12" spans="1:2" x14ac:dyDescent="0.35">
      <c r="A12" s="5">
        <v>44848</v>
      </c>
      <c r="B12" s="6">
        <v>72</v>
      </c>
    </row>
    <row r="13" spans="1:2" x14ac:dyDescent="0.35">
      <c r="A13" s="5">
        <v>44849</v>
      </c>
      <c r="B13" s="6">
        <v>66</v>
      </c>
    </row>
    <row r="14" spans="1:2" x14ac:dyDescent="0.35">
      <c r="A14" s="5">
        <v>44850</v>
      </c>
      <c r="B14" s="6">
        <v>69</v>
      </c>
    </row>
    <row r="15" spans="1:2" x14ac:dyDescent="0.35">
      <c r="A15" s="5">
        <v>44851</v>
      </c>
      <c r="B15" s="6">
        <v>86</v>
      </c>
    </row>
    <row r="16" spans="1:2" x14ac:dyDescent="0.35">
      <c r="A16" s="5">
        <v>44852</v>
      </c>
      <c r="B16" s="6">
        <v>69.333333333333329</v>
      </c>
    </row>
    <row r="17" spans="1:2" x14ac:dyDescent="0.35">
      <c r="A17" s="5">
        <v>44853</v>
      </c>
      <c r="B17" s="6">
        <v>52</v>
      </c>
    </row>
    <row r="18" spans="1:2" x14ac:dyDescent="0.35">
      <c r="A18" s="5">
        <v>44854</v>
      </c>
      <c r="B18" s="6">
        <v>90.666666666666671</v>
      </c>
    </row>
    <row r="19" spans="1:2" x14ac:dyDescent="0.35">
      <c r="A19" s="5">
        <v>44855</v>
      </c>
      <c r="B19" s="6">
        <v>71</v>
      </c>
    </row>
    <row r="20" spans="1:2" x14ac:dyDescent="0.35">
      <c r="A20" s="5">
        <v>44856</v>
      </c>
      <c r="B20" s="6">
        <v>69</v>
      </c>
    </row>
    <row r="21" spans="1:2" x14ac:dyDescent="0.35">
      <c r="A21" s="5">
        <v>44857</v>
      </c>
      <c r="B21" s="6">
        <v>53</v>
      </c>
    </row>
    <row r="22" spans="1:2" x14ac:dyDescent="0.35">
      <c r="A22" s="5">
        <v>44861</v>
      </c>
      <c r="B22" s="6">
        <v>94</v>
      </c>
    </row>
    <row r="23" spans="1:2" x14ac:dyDescent="0.35">
      <c r="A23" s="5">
        <v>44862</v>
      </c>
      <c r="B23" s="6">
        <v>74.5</v>
      </c>
    </row>
    <row r="24" spans="1:2" x14ac:dyDescent="0.35">
      <c r="A24" s="5">
        <v>44863</v>
      </c>
      <c r="B24" s="6">
        <v>65</v>
      </c>
    </row>
    <row r="25" spans="1:2" x14ac:dyDescent="0.35">
      <c r="A25" s="5">
        <v>44864</v>
      </c>
      <c r="B25" s="6">
        <v>48.333333333333336</v>
      </c>
    </row>
    <row r="26" spans="1:2" x14ac:dyDescent="0.35">
      <c r="A26" s="5" t="s">
        <v>1</v>
      </c>
      <c r="B26" s="6">
        <v>71.786885245901644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D6D1-FDC3-4AEF-BE57-829309EFE9E0}">
  <dimension ref="A3:H8"/>
  <sheetViews>
    <sheetView tabSelected="1" topLeftCell="A2" workbookViewId="0">
      <selection activeCell="I19" sqref="I19"/>
    </sheetView>
  </sheetViews>
  <sheetFormatPr defaultRowHeight="14.5" x14ac:dyDescent="0.35"/>
  <cols>
    <col min="1" max="1" width="12.36328125" bestFit="1" customWidth="1"/>
    <col min="2" max="2" width="19.81640625" bestFit="1" customWidth="1"/>
    <col min="3" max="3" width="22.26953125" bestFit="1" customWidth="1"/>
    <col min="4" max="4" width="23.6328125" bestFit="1" customWidth="1"/>
    <col min="5" max="5" width="29.36328125" bestFit="1" customWidth="1"/>
    <col min="6" max="6" width="28.36328125" bestFit="1" customWidth="1"/>
    <col min="7" max="7" width="24.7265625" bestFit="1" customWidth="1"/>
    <col min="8" max="8" width="34.26953125" bestFit="1" customWidth="1"/>
    <col min="9" max="10" width="11.81640625" bestFit="1" customWidth="1"/>
    <col min="11" max="11" width="28.36328125" bestFit="1" customWidth="1"/>
    <col min="12" max="13" width="11.81640625" bestFit="1" customWidth="1"/>
    <col min="14" max="14" width="24.7265625" bestFit="1" customWidth="1"/>
    <col min="15" max="16" width="11.81640625" bestFit="1" customWidth="1"/>
    <col min="17" max="17" width="34.26953125" bestFit="1" customWidth="1"/>
    <col min="18" max="19" width="11.81640625" bestFit="1" customWidth="1"/>
    <col min="20" max="20" width="24.6328125" bestFit="1" customWidth="1"/>
    <col min="21" max="21" width="28.453125" bestFit="1" customWidth="1"/>
    <col min="22" max="22" width="34.1796875" bestFit="1" customWidth="1"/>
    <col min="23" max="23" width="33.1796875" bestFit="1" customWidth="1"/>
    <col min="24" max="24" width="29.6328125" bestFit="1" customWidth="1"/>
    <col min="25" max="25" width="39.08984375" bestFit="1" customWidth="1"/>
    <col min="26" max="26" width="2.81640625" bestFit="1" customWidth="1"/>
    <col min="27" max="27" width="3.81640625" bestFit="1" customWidth="1"/>
    <col min="28" max="28" width="11.81640625" bestFit="1" customWidth="1"/>
    <col min="29" max="29" width="29.36328125" bestFit="1" customWidth="1"/>
    <col min="30" max="30" width="2.81640625" bestFit="1" customWidth="1"/>
    <col min="31" max="31" width="4.81640625" bestFit="1" customWidth="1"/>
    <col min="32" max="32" width="5.81640625" bestFit="1" customWidth="1"/>
    <col min="33" max="33" width="2.81640625" bestFit="1" customWidth="1"/>
    <col min="34" max="35" width="3.81640625" bestFit="1" customWidth="1"/>
    <col min="36" max="36" width="11.81640625" bestFit="1" customWidth="1"/>
    <col min="37" max="37" width="3.81640625" bestFit="1" customWidth="1"/>
    <col min="38" max="38" width="11.81640625" bestFit="1" customWidth="1"/>
    <col min="39" max="39" width="4.6328125" bestFit="1" customWidth="1"/>
    <col min="40" max="40" width="2.81640625" bestFit="1" customWidth="1"/>
    <col min="41" max="41" width="11.81640625" bestFit="1" customWidth="1"/>
    <col min="42" max="42" width="3.81640625" bestFit="1" customWidth="1"/>
    <col min="43" max="43" width="11.81640625" bestFit="1" customWidth="1"/>
    <col min="44" max="45" width="3.81640625" bestFit="1" customWidth="1"/>
    <col min="46" max="46" width="11.81640625" bestFit="1" customWidth="1"/>
    <col min="47" max="47" width="5.6328125" bestFit="1" customWidth="1"/>
    <col min="48" max="49" width="2.81640625" bestFit="1" customWidth="1"/>
    <col min="50" max="50" width="3.81640625" bestFit="1" customWidth="1"/>
    <col min="51" max="51" width="2.81640625" bestFit="1" customWidth="1"/>
    <col min="52" max="54" width="3.81640625" bestFit="1" customWidth="1"/>
    <col min="55" max="55" width="11.81640625" bestFit="1" customWidth="1"/>
    <col min="56" max="56" width="28.36328125" bestFit="1" customWidth="1"/>
    <col min="57" max="58" width="2.81640625" bestFit="1" customWidth="1"/>
    <col min="59" max="60" width="4.81640625" bestFit="1" customWidth="1"/>
    <col min="61" max="61" width="3.81640625" bestFit="1" customWidth="1"/>
    <col min="62" max="65" width="11.81640625" bestFit="1" customWidth="1"/>
    <col min="66" max="66" width="4.6328125" bestFit="1" customWidth="1"/>
    <col min="67" max="67" width="2.81640625" bestFit="1" customWidth="1"/>
    <col min="68" max="68" width="5.81640625" bestFit="1" customWidth="1"/>
    <col min="69" max="69" width="11.81640625" bestFit="1" customWidth="1"/>
    <col min="70" max="70" width="4.81640625" bestFit="1" customWidth="1"/>
    <col min="71" max="71" width="2.81640625" bestFit="1" customWidth="1"/>
    <col min="72" max="72" width="4.81640625" bestFit="1" customWidth="1"/>
    <col min="73" max="73" width="11.81640625" bestFit="1" customWidth="1"/>
    <col min="74" max="74" width="5.6328125" bestFit="1" customWidth="1"/>
    <col min="75" max="79" width="2.81640625" bestFit="1" customWidth="1"/>
    <col min="80" max="80" width="4.81640625" bestFit="1" customWidth="1"/>
    <col min="81" max="81" width="5.81640625" bestFit="1" customWidth="1"/>
    <col min="82" max="82" width="11.81640625" bestFit="1" customWidth="1"/>
    <col min="83" max="83" width="24.7265625" bestFit="1" customWidth="1"/>
    <col min="84" max="84" width="2.81640625" bestFit="1" customWidth="1"/>
    <col min="85" max="87" width="4.81640625" bestFit="1" customWidth="1"/>
    <col min="88" max="88" width="2.81640625" bestFit="1" customWidth="1"/>
    <col min="89" max="89" width="11.81640625" bestFit="1" customWidth="1"/>
    <col min="90" max="90" width="2.81640625" bestFit="1" customWidth="1"/>
    <col min="91" max="91" width="3.81640625" bestFit="1" customWidth="1"/>
    <col min="92" max="92" width="11.81640625" bestFit="1" customWidth="1"/>
    <col min="93" max="93" width="4.6328125" bestFit="1" customWidth="1"/>
    <col min="94" max="94" width="2.81640625" bestFit="1" customWidth="1"/>
    <col min="95" max="97" width="11.81640625" bestFit="1" customWidth="1"/>
    <col min="98" max="98" width="4.81640625" bestFit="1" customWidth="1"/>
    <col min="99" max="99" width="3.81640625" bestFit="1" customWidth="1"/>
    <col min="100" max="100" width="11.81640625" bestFit="1" customWidth="1"/>
    <col min="101" max="101" width="5.6328125" bestFit="1" customWidth="1"/>
    <col min="102" max="102" width="2.81640625" bestFit="1" customWidth="1"/>
    <col min="103" max="103" width="4.81640625" bestFit="1" customWidth="1"/>
    <col min="104" max="107" width="2.81640625" bestFit="1" customWidth="1"/>
    <col min="108" max="108" width="4.81640625" bestFit="1" customWidth="1"/>
    <col min="109" max="109" width="11.81640625" bestFit="1" customWidth="1"/>
    <col min="110" max="110" width="34.26953125" bestFit="1" customWidth="1"/>
    <col min="111" max="112" width="2.81640625" bestFit="1" customWidth="1"/>
    <col min="113" max="113" width="5.81640625" bestFit="1" customWidth="1"/>
    <col min="114" max="114" width="4.81640625" bestFit="1" customWidth="1"/>
    <col min="115" max="115" width="3.81640625" bestFit="1" customWidth="1"/>
    <col min="116" max="116" width="2.81640625" bestFit="1" customWidth="1"/>
    <col min="117" max="119" width="11.81640625" bestFit="1" customWidth="1"/>
    <col min="120" max="120" width="4.6328125" bestFit="1" customWidth="1"/>
    <col min="121" max="121" width="2.81640625" bestFit="1" customWidth="1"/>
    <col min="122" max="124" width="11.81640625" bestFit="1" customWidth="1"/>
    <col min="125" max="125" width="2.81640625" bestFit="1" customWidth="1"/>
    <col min="126" max="126" width="3.81640625" bestFit="1" customWidth="1"/>
    <col min="127" max="127" width="11.81640625" bestFit="1" customWidth="1"/>
    <col min="128" max="128" width="5.6328125" bestFit="1" customWidth="1"/>
    <col min="129" max="130" width="2.81640625" bestFit="1" customWidth="1"/>
    <col min="131" max="131" width="3.81640625" bestFit="1" customWidth="1"/>
    <col min="132" max="133" width="2.81640625" bestFit="1" customWidth="1"/>
    <col min="134" max="134" width="3.81640625" bestFit="1" customWidth="1"/>
    <col min="135" max="135" width="5.81640625" bestFit="1" customWidth="1"/>
    <col min="136" max="136" width="11.81640625" bestFit="1" customWidth="1"/>
    <col min="137" max="137" width="24.6328125" bestFit="1" customWidth="1"/>
    <col min="138" max="138" width="34.1796875" bestFit="1" customWidth="1"/>
    <col min="139" max="139" width="33.1796875" bestFit="1" customWidth="1"/>
    <col min="140" max="140" width="29.6328125" bestFit="1" customWidth="1"/>
    <col min="141" max="141" width="39.08984375" bestFit="1" customWidth="1"/>
  </cols>
  <sheetData>
    <row r="3" spans="1:8" x14ac:dyDescent="0.35">
      <c r="A3" s="1" t="s">
        <v>19</v>
      </c>
      <c r="B3" t="s">
        <v>29</v>
      </c>
      <c r="C3" t="s">
        <v>26</v>
      </c>
      <c r="D3" t="s">
        <v>27</v>
      </c>
      <c r="E3" t="s">
        <v>30</v>
      </c>
      <c r="F3" t="s">
        <v>31</v>
      </c>
      <c r="G3" t="s">
        <v>32</v>
      </c>
      <c r="H3" t="s">
        <v>33</v>
      </c>
    </row>
    <row r="4" spans="1:8" x14ac:dyDescent="0.35">
      <c r="A4" s="3" t="s">
        <v>17</v>
      </c>
      <c r="B4" s="6">
        <v>45.714285714285715</v>
      </c>
      <c r="C4" s="6">
        <v>634</v>
      </c>
      <c r="D4" s="6">
        <v>572</v>
      </c>
      <c r="E4" s="6">
        <v>80.857142857142861</v>
      </c>
      <c r="F4" s="6">
        <v>71.285714285714292</v>
      </c>
      <c r="G4" s="6">
        <v>55</v>
      </c>
      <c r="H4" s="6">
        <v>68</v>
      </c>
    </row>
    <row r="5" spans="1:8" x14ac:dyDescent="0.35">
      <c r="A5" s="3" t="s">
        <v>14</v>
      </c>
      <c r="B5" s="6">
        <v>80</v>
      </c>
      <c r="C5" s="6">
        <v>1768</v>
      </c>
      <c r="D5" s="6">
        <v>1564</v>
      </c>
      <c r="E5" s="6">
        <v>66.684210526315795</v>
      </c>
      <c r="F5" s="6">
        <v>63.157894736842103</v>
      </c>
      <c r="G5" s="6">
        <v>63.789473684210527</v>
      </c>
      <c r="H5" s="6">
        <v>75.21052631578948</v>
      </c>
    </row>
    <row r="6" spans="1:8" x14ac:dyDescent="0.35">
      <c r="A6" s="3" t="s">
        <v>16</v>
      </c>
      <c r="B6" s="6">
        <v>62.222222222222221</v>
      </c>
      <c r="C6" s="6">
        <v>1558</v>
      </c>
      <c r="D6" s="6">
        <v>1458</v>
      </c>
      <c r="E6" s="6">
        <v>81.5</v>
      </c>
      <c r="F6" s="6">
        <v>53.666666666666664</v>
      </c>
      <c r="G6" s="6">
        <v>49.111111111111114</v>
      </c>
      <c r="H6" s="6">
        <v>51.611111111111114</v>
      </c>
    </row>
    <row r="7" spans="1:8" x14ac:dyDescent="0.35">
      <c r="A7" s="3" t="s">
        <v>15</v>
      </c>
      <c r="B7" s="6">
        <v>68.235294117647058</v>
      </c>
      <c r="C7" s="6">
        <v>1458</v>
      </c>
      <c r="D7" s="6">
        <v>1444</v>
      </c>
      <c r="E7" s="6">
        <v>80.470588235294116</v>
      </c>
      <c r="F7" s="6">
        <v>58.823529411764703</v>
      </c>
      <c r="G7" s="6">
        <v>52</v>
      </c>
      <c r="H7" s="6">
        <v>67.82352941176471</v>
      </c>
    </row>
    <row r="8" spans="1:8" x14ac:dyDescent="0.35">
      <c r="A8" s="3" t="s">
        <v>1</v>
      </c>
      <c r="B8" s="6">
        <v>67.540983606557376</v>
      </c>
      <c r="C8" s="6">
        <v>5418</v>
      </c>
      <c r="D8" s="6">
        <v>5038</v>
      </c>
      <c r="E8" s="6">
        <v>76.52459016393442</v>
      </c>
      <c r="F8" s="6">
        <v>60.081967213114751</v>
      </c>
      <c r="G8" s="6">
        <v>55.16393442622951</v>
      </c>
      <c r="H8" s="6">
        <v>65.360655737704917</v>
      </c>
    </row>
  </sheetData>
  <conditionalFormatting pivot="1" sqref="B4:B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4:C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4:D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4:E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4:F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4:G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H4:H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861B-29DC-405F-8BB9-CDB7C19D085D}">
  <dimension ref="A3:D127"/>
  <sheetViews>
    <sheetView workbookViewId="0">
      <selection activeCell="A3" sqref="A3"/>
    </sheetView>
  </sheetViews>
  <sheetFormatPr defaultRowHeight="14.5" x14ac:dyDescent="0.35"/>
  <cols>
    <col min="1" max="1" width="25.453125" bestFit="1" customWidth="1"/>
    <col min="2" max="2" width="15.26953125" bestFit="1" customWidth="1"/>
    <col min="3" max="3" width="13.36328125" bestFit="1" customWidth="1"/>
    <col min="4" max="4" width="11.81640625" bestFit="1" customWidth="1"/>
    <col min="5" max="5" width="23.6328125" bestFit="1" customWidth="1"/>
    <col min="6" max="6" width="30.26953125" bestFit="1" customWidth="1"/>
    <col min="7" max="7" width="28.453125" bestFit="1" customWidth="1"/>
  </cols>
  <sheetData>
    <row r="3" spans="1:4" x14ac:dyDescent="0.35">
      <c r="A3" s="1" t="s">
        <v>28</v>
      </c>
      <c r="B3" s="1" t="s">
        <v>0</v>
      </c>
    </row>
    <row r="4" spans="1:4" x14ac:dyDescent="0.35">
      <c r="A4" s="1" t="s">
        <v>19</v>
      </c>
      <c r="B4" t="s">
        <v>22</v>
      </c>
      <c r="C4" t="s">
        <v>23</v>
      </c>
      <c r="D4" t="s">
        <v>1</v>
      </c>
    </row>
    <row r="5" spans="1:4" x14ac:dyDescent="0.35">
      <c r="A5" s="3">
        <v>100</v>
      </c>
      <c r="B5" s="6">
        <v>96.333333333333329</v>
      </c>
      <c r="C5" s="6">
        <v>89</v>
      </c>
      <c r="D5" s="6">
        <v>95.6</v>
      </c>
    </row>
    <row r="6" spans="1:4" x14ac:dyDescent="0.35">
      <c r="A6" s="7">
        <v>100</v>
      </c>
      <c r="B6" s="6">
        <v>96.857142857142861</v>
      </c>
      <c r="C6" s="6"/>
      <c r="D6" s="6">
        <v>96.857142857142861</v>
      </c>
    </row>
    <row r="7" spans="1:4" x14ac:dyDescent="0.35">
      <c r="A7" s="8">
        <v>100</v>
      </c>
      <c r="B7" s="6">
        <v>100</v>
      </c>
      <c r="C7" s="6"/>
      <c r="D7" s="6">
        <v>100</v>
      </c>
    </row>
    <row r="8" spans="1:4" x14ac:dyDescent="0.35">
      <c r="A8" s="9">
        <v>100</v>
      </c>
      <c r="B8" s="6">
        <v>100</v>
      </c>
      <c r="C8" s="6"/>
      <c r="D8" s="6">
        <v>100</v>
      </c>
    </row>
    <row r="9" spans="1:4" x14ac:dyDescent="0.35">
      <c r="A9" s="10">
        <v>100</v>
      </c>
      <c r="B9" s="6">
        <v>100</v>
      </c>
      <c r="C9" s="6"/>
      <c r="D9" s="6">
        <v>100</v>
      </c>
    </row>
    <row r="10" spans="1:4" x14ac:dyDescent="0.35">
      <c r="A10" s="11">
        <v>100</v>
      </c>
      <c r="B10" s="6">
        <v>100</v>
      </c>
      <c r="C10" s="6"/>
      <c r="D10" s="6">
        <v>100</v>
      </c>
    </row>
    <row r="11" spans="1:4" x14ac:dyDescent="0.35">
      <c r="A11" s="8">
        <v>88</v>
      </c>
      <c r="B11" s="6">
        <v>100</v>
      </c>
      <c r="C11" s="6"/>
      <c r="D11" s="6">
        <v>100</v>
      </c>
    </row>
    <row r="12" spans="1:4" x14ac:dyDescent="0.35">
      <c r="A12" s="9">
        <v>67</v>
      </c>
      <c r="B12" s="6">
        <v>100</v>
      </c>
      <c r="C12" s="6"/>
      <c r="D12" s="6">
        <v>100</v>
      </c>
    </row>
    <row r="13" spans="1:4" x14ac:dyDescent="0.35">
      <c r="A13" s="10">
        <v>100</v>
      </c>
      <c r="B13" s="6">
        <v>100</v>
      </c>
      <c r="C13" s="6"/>
      <c r="D13" s="6">
        <v>100</v>
      </c>
    </row>
    <row r="14" spans="1:4" x14ac:dyDescent="0.35">
      <c r="A14" s="11">
        <v>100</v>
      </c>
      <c r="B14" s="6">
        <v>100</v>
      </c>
      <c r="C14" s="6"/>
      <c r="D14" s="6">
        <v>100</v>
      </c>
    </row>
    <row r="15" spans="1:4" x14ac:dyDescent="0.35">
      <c r="A15" s="8">
        <v>75</v>
      </c>
      <c r="B15" s="6">
        <v>92.666666666666671</v>
      </c>
      <c r="C15" s="6"/>
      <c r="D15" s="6">
        <v>92.666666666666671</v>
      </c>
    </row>
    <row r="16" spans="1:4" x14ac:dyDescent="0.35">
      <c r="A16" s="9">
        <v>83</v>
      </c>
      <c r="B16" s="6">
        <v>100</v>
      </c>
      <c r="C16" s="6"/>
      <c r="D16" s="6">
        <v>100</v>
      </c>
    </row>
    <row r="17" spans="1:4" x14ac:dyDescent="0.35">
      <c r="A17" s="10">
        <v>100</v>
      </c>
      <c r="B17" s="6">
        <v>100</v>
      </c>
      <c r="C17" s="6"/>
      <c r="D17" s="6">
        <v>100</v>
      </c>
    </row>
    <row r="18" spans="1:4" x14ac:dyDescent="0.35">
      <c r="A18" s="11">
        <v>100</v>
      </c>
      <c r="B18" s="6">
        <v>100</v>
      </c>
      <c r="C18" s="6"/>
      <c r="D18" s="6">
        <v>100</v>
      </c>
    </row>
    <row r="19" spans="1:4" x14ac:dyDescent="0.35">
      <c r="A19" s="9">
        <v>100</v>
      </c>
      <c r="B19" s="6">
        <v>89</v>
      </c>
      <c r="C19" s="6"/>
      <c r="D19" s="6">
        <v>89</v>
      </c>
    </row>
    <row r="20" spans="1:4" x14ac:dyDescent="0.35">
      <c r="A20" s="10">
        <v>100</v>
      </c>
      <c r="B20" s="6">
        <v>89</v>
      </c>
      <c r="C20" s="6"/>
      <c r="D20" s="6">
        <v>89</v>
      </c>
    </row>
    <row r="21" spans="1:4" x14ac:dyDescent="0.35">
      <c r="A21" s="11">
        <v>75</v>
      </c>
      <c r="B21" s="6">
        <v>100</v>
      </c>
      <c r="C21" s="6"/>
      <c r="D21" s="6">
        <v>100</v>
      </c>
    </row>
    <row r="22" spans="1:4" x14ac:dyDescent="0.35">
      <c r="A22" s="11">
        <v>100</v>
      </c>
      <c r="B22" s="6">
        <v>78</v>
      </c>
      <c r="C22" s="6"/>
      <c r="D22" s="6">
        <v>78</v>
      </c>
    </row>
    <row r="23" spans="1:4" x14ac:dyDescent="0.35">
      <c r="A23" s="8">
        <v>63</v>
      </c>
      <c r="B23" s="6">
        <v>100</v>
      </c>
      <c r="C23" s="6"/>
      <c r="D23" s="6">
        <v>100</v>
      </c>
    </row>
    <row r="24" spans="1:4" x14ac:dyDescent="0.35">
      <c r="A24" s="9">
        <v>83</v>
      </c>
      <c r="B24" s="6">
        <v>100</v>
      </c>
      <c r="C24" s="6"/>
      <c r="D24" s="6">
        <v>100</v>
      </c>
    </row>
    <row r="25" spans="1:4" x14ac:dyDescent="0.35">
      <c r="A25" s="10">
        <v>100</v>
      </c>
      <c r="B25" s="6">
        <v>100</v>
      </c>
      <c r="C25" s="6"/>
      <c r="D25" s="6">
        <v>100</v>
      </c>
    </row>
    <row r="26" spans="1:4" x14ac:dyDescent="0.35">
      <c r="A26" s="11">
        <v>88</v>
      </c>
      <c r="B26" s="6">
        <v>100</v>
      </c>
      <c r="C26" s="6"/>
      <c r="D26" s="6">
        <v>100</v>
      </c>
    </row>
    <row r="27" spans="1:4" x14ac:dyDescent="0.35">
      <c r="A27" s="9">
        <v>100</v>
      </c>
      <c r="B27" s="6">
        <v>100</v>
      </c>
      <c r="C27" s="6"/>
      <c r="D27" s="6">
        <v>100</v>
      </c>
    </row>
    <row r="28" spans="1:4" x14ac:dyDescent="0.35">
      <c r="A28" s="10">
        <v>100</v>
      </c>
      <c r="B28" s="6">
        <v>100</v>
      </c>
      <c r="C28" s="6"/>
      <c r="D28" s="6">
        <v>100</v>
      </c>
    </row>
    <row r="29" spans="1:4" x14ac:dyDescent="0.35">
      <c r="A29" s="11">
        <v>100</v>
      </c>
      <c r="B29" s="6">
        <v>100</v>
      </c>
      <c r="C29" s="6"/>
      <c r="D29" s="6">
        <v>100</v>
      </c>
    </row>
    <row r="30" spans="1:4" x14ac:dyDescent="0.35">
      <c r="A30" s="7">
        <v>90</v>
      </c>
      <c r="B30" s="6">
        <v>89</v>
      </c>
      <c r="C30" s="6"/>
      <c r="D30" s="6">
        <v>89</v>
      </c>
    </row>
    <row r="31" spans="1:4" x14ac:dyDescent="0.35">
      <c r="A31" s="8">
        <v>88</v>
      </c>
      <c r="B31" s="6">
        <v>89</v>
      </c>
      <c r="C31" s="6"/>
      <c r="D31" s="6">
        <v>89</v>
      </c>
    </row>
    <row r="32" spans="1:4" x14ac:dyDescent="0.35">
      <c r="A32" s="9">
        <v>100</v>
      </c>
      <c r="B32" s="6">
        <v>89</v>
      </c>
      <c r="C32" s="6"/>
      <c r="D32" s="6">
        <v>89</v>
      </c>
    </row>
    <row r="33" spans="1:4" x14ac:dyDescent="0.35">
      <c r="A33" s="10">
        <v>100</v>
      </c>
      <c r="B33" s="6">
        <v>89</v>
      </c>
      <c r="C33" s="6"/>
      <c r="D33" s="6">
        <v>89</v>
      </c>
    </row>
    <row r="34" spans="1:4" x14ac:dyDescent="0.35">
      <c r="A34" s="11">
        <v>100</v>
      </c>
      <c r="B34" s="6">
        <v>89</v>
      </c>
      <c r="C34" s="6"/>
      <c r="D34" s="6">
        <v>89</v>
      </c>
    </row>
    <row r="35" spans="1:4" x14ac:dyDescent="0.35">
      <c r="A35" s="7">
        <v>89</v>
      </c>
      <c r="B35" s="6">
        <v>100</v>
      </c>
      <c r="C35" s="6"/>
      <c r="D35" s="6">
        <v>100</v>
      </c>
    </row>
    <row r="36" spans="1:4" x14ac:dyDescent="0.35">
      <c r="A36" s="8">
        <v>75</v>
      </c>
      <c r="B36" s="6">
        <v>100</v>
      </c>
      <c r="C36" s="6"/>
      <c r="D36" s="6">
        <v>100</v>
      </c>
    </row>
    <row r="37" spans="1:4" x14ac:dyDescent="0.35">
      <c r="A37" s="9">
        <v>100</v>
      </c>
      <c r="B37" s="6">
        <v>100</v>
      </c>
      <c r="C37" s="6"/>
      <c r="D37" s="6">
        <v>100</v>
      </c>
    </row>
    <row r="38" spans="1:4" x14ac:dyDescent="0.35">
      <c r="A38" s="10">
        <v>100</v>
      </c>
      <c r="B38" s="6">
        <v>100</v>
      </c>
      <c r="C38" s="6"/>
      <c r="D38" s="6">
        <v>100</v>
      </c>
    </row>
    <row r="39" spans="1:4" x14ac:dyDescent="0.35">
      <c r="A39" s="11">
        <v>100</v>
      </c>
      <c r="B39" s="6">
        <v>100</v>
      </c>
      <c r="C39" s="6"/>
      <c r="D39" s="6">
        <v>100</v>
      </c>
    </row>
    <row r="40" spans="1:4" x14ac:dyDescent="0.35">
      <c r="A40" s="7">
        <v>78</v>
      </c>
      <c r="B40" s="6"/>
      <c r="C40" s="6">
        <v>89</v>
      </c>
      <c r="D40" s="6">
        <v>89</v>
      </c>
    </row>
    <row r="41" spans="1:4" x14ac:dyDescent="0.35">
      <c r="A41" s="8">
        <v>50</v>
      </c>
      <c r="B41" s="6"/>
      <c r="C41" s="6">
        <v>89</v>
      </c>
      <c r="D41" s="6">
        <v>89</v>
      </c>
    </row>
    <row r="42" spans="1:4" x14ac:dyDescent="0.35">
      <c r="A42" s="9">
        <v>50</v>
      </c>
      <c r="B42" s="6"/>
      <c r="C42" s="6">
        <v>89</v>
      </c>
      <c r="D42" s="6">
        <v>89</v>
      </c>
    </row>
    <row r="43" spans="1:4" x14ac:dyDescent="0.35">
      <c r="A43" s="10">
        <v>100</v>
      </c>
      <c r="B43" s="6"/>
      <c r="C43" s="6">
        <v>89</v>
      </c>
      <c r="D43" s="6">
        <v>89</v>
      </c>
    </row>
    <row r="44" spans="1:4" x14ac:dyDescent="0.35">
      <c r="A44" s="11">
        <v>38</v>
      </c>
      <c r="B44" s="6"/>
      <c r="C44" s="6">
        <v>89</v>
      </c>
      <c r="D44" s="6">
        <v>89</v>
      </c>
    </row>
    <row r="45" spans="1:4" x14ac:dyDescent="0.35">
      <c r="A45" s="3">
        <v>80</v>
      </c>
      <c r="B45" s="6">
        <v>100</v>
      </c>
      <c r="C45" s="6">
        <v>94.5</v>
      </c>
      <c r="D45" s="6">
        <v>95.285714285714292</v>
      </c>
    </row>
    <row r="46" spans="1:4" x14ac:dyDescent="0.35">
      <c r="A46" s="7">
        <v>100</v>
      </c>
      <c r="B46" s="6">
        <v>100</v>
      </c>
      <c r="C46" s="6"/>
      <c r="D46" s="6">
        <v>100</v>
      </c>
    </row>
    <row r="47" spans="1:4" x14ac:dyDescent="0.35">
      <c r="A47" s="8">
        <v>100</v>
      </c>
      <c r="B47" s="6">
        <v>100</v>
      </c>
      <c r="C47" s="6"/>
      <c r="D47" s="6">
        <v>100</v>
      </c>
    </row>
    <row r="48" spans="1:4" x14ac:dyDescent="0.35">
      <c r="A48" s="9">
        <v>83</v>
      </c>
      <c r="B48" s="6">
        <v>100</v>
      </c>
      <c r="C48" s="6"/>
      <c r="D48" s="6">
        <v>100</v>
      </c>
    </row>
    <row r="49" spans="1:4" x14ac:dyDescent="0.35">
      <c r="A49" s="10">
        <v>100</v>
      </c>
      <c r="B49" s="6">
        <v>100</v>
      </c>
      <c r="C49" s="6"/>
      <c r="D49" s="6">
        <v>100</v>
      </c>
    </row>
    <row r="50" spans="1:4" x14ac:dyDescent="0.35">
      <c r="A50" s="11">
        <v>100</v>
      </c>
      <c r="B50" s="6">
        <v>100</v>
      </c>
      <c r="C50" s="6"/>
      <c r="D50" s="6">
        <v>100</v>
      </c>
    </row>
    <row r="51" spans="1:4" x14ac:dyDescent="0.35">
      <c r="A51" s="7">
        <v>89</v>
      </c>
      <c r="B51" s="6"/>
      <c r="C51" s="6">
        <v>89</v>
      </c>
      <c r="D51" s="6">
        <v>89</v>
      </c>
    </row>
    <row r="52" spans="1:4" x14ac:dyDescent="0.35">
      <c r="A52" s="8">
        <v>63</v>
      </c>
      <c r="B52" s="6"/>
      <c r="C52" s="6">
        <v>89</v>
      </c>
      <c r="D52" s="6">
        <v>89</v>
      </c>
    </row>
    <row r="53" spans="1:4" x14ac:dyDescent="0.35">
      <c r="A53" s="9">
        <v>50</v>
      </c>
      <c r="B53" s="6"/>
      <c r="C53" s="6">
        <v>89</v>
      </c>
      <c r="D53" s="6">
        <v>89</v>
      </c>
    </row>
    <row r="54" spans="1:4" x14ac:dyDescent="0.35">
      <c r="A54" s="10">
        <v>33</v>
      </c>
      <c r="B54" s="6"/>
      <c r="C54" s="6">
        <v>89</v>
      </c>
      <c r="D54" s="6">
        <v>89</v>
      </c>
    </row>
    <row r="55" spans="1:4" x14ac:dyDescent="0.35">
      <c r="A55" s="11">
        <v>25</v>
      </c>
      <c r="B55" s="6"/>
      <c r="C55" s="6">
        <v>89</v>
      </c>
      <c r="D55" s="6">
        <v>89</v>
      </c>
    </row>
    <row r="56" spans="1:4" x14ac:dyDescent="0.35">
      <c r="A56" s="7">
        <v>78</v>
      </c>
      <c r="B56" s="6"/>
      <c r="C56" s="6">
        <v>92.666666666666671</v>
      </c>
      <c r="D56" s="6">
        <v>92.666666666666671</v>
      </c>
    </row>
    <row r="57" spans="1:4" x14ac:dyDescent="0.35">
      <c r="A57" s="8">
        <v>50</v>
      </c>
      <c r="B57" s="6"/>
      <c r="C57" s="6">
        <v>100</v>
      </c>
      <c r="D57" s="6">
        <v>100</v>
      </c>
    </row>
    <row r="58" spans="1:4" x14ac:dyDescent="0.35">
      <c r="A58" s="9">
        <v>50</v>
      </c>
      <c r="B58" s="6"/>
      <c r="C58" s="6">
        <v>100</v>
      </c>
      <c r="D58" s="6">
        <v>100</v>
      </c>
    </row>
    <row r="59" spans="1:4" x14ac:dyDescent="0.35">
      <c r="A59" s="10">
        <v>0</v>
      </c>
      <c r="B59" s="6"/>
      <c r="C59" s="6">
        <v>100</v>
      </c>
      <c r="D59" s="6">
        <v>100</v>
      </c>
    </row>
    <row r="60" spans="1:4" x14ac:dyDescent="0.35">
      <c r="A60" s="11">
        <v>75</v>
      </c>
      <c r="B60" s="6"/>
      <c r="C60" s="6">
        <v>100</v>
      </c>
      <c r="D60" s="6">
        <v>100</v>
      </c>
    </row>
    <row r="61" spans="1:4" x14ac:dyDescent="0.35">
      <c r="A61" s="8">
        <v>43</v>
      </c>
      <c r="B61" s="6"/>
      <c r="C61" s="6">
        <v>89</v>
      </c>
      <c r="D61" s="6">
        <v>89</v>
      </c>
    </row>
    <row r="62" spans="1:4" x14ac:dyDescent="0.35">
      <c r="A62" s="9">
        <v>50</v>
      </c>
      <c r="B62" s="6"/>
      <c r="C62" s="6">
        <v>89</v>
      </c>
      <c r="D62" s="6">
        <v>89</v>
      </c>
    </row>
    <row r="63" spans="1:4" x14ac:dyDescent="0.35">
      <c r="A63" s="10">
        <v>0</v>
      </c>
      <c r="B63" s="6"/>
      <c r="C63" s="6">
        <v>89</v>
      </c>
      <c r="D63" s="6">
        <v>89</v>
      </c>
    </row>
    <row r="64" spans="1:4" x14ac:dyDescent="0.35">
      <c r="A64" s="11">
        <v>75</v>
      </c>
      <c r="B64" s="6"/>
      <c r="C64" s="6">
        <v>89</v>
      </c>
      <c r="D64" s="6">
        <v>89</v>
      </c>
    </row>
    <row r="65" spans="1:4" x14ac:dyDescent="0.35">
      <c r="A65" s="8">
        <v>25</v>
      </c>
      <c r="B65" s="6"/>
      <c r="C65" s="6">
        <v>89</v>
      </c>
      <c r="D65" s="6">
        <v>89</v>
      </c>
    </row>
    <row r="66" spans="1:4" x14ac:dyDescent="0.35">
      <c r="A66" s="9">
        <v>17</v>
      </c>
      <c r="B66" s="6"/>
      <c r="C66" s="6">
        <v>89</v>
      </c>
      <c r="D66" s="6">
        <v>89</v>
      </c>
    </row>
    <row r="67" spans="1:4" x14ac:dyDescent="0.35">
      <c r="A67" s="10">
        <v>100</v>
      </c>
      <c r="B67" s="6"/>
      <c r="C67" s="6">
        <v>89</v>
      </c>
      <c r="D67" s="6">
        <v>89</v>
      </c>
    </row>
    <row r="68" spans="1:4" x14ac:dyDescent="0.35">
      <c r="A68" s="11">
        <v>38</v>
      </c>
      <c r="B68" s="6"/>
      <c r="C68" s="6">
        <v>89</v>
      </c>
      <c r="D68" s="6">
        <v>89</v>
      </c>
    </row>
    <row r="69" spans="1:4" x14ac:dyDescent="0.35">
      <c r="A69" s="7">
        <v>67</v>
      </c>
      <c r="B69" s="6"/>
      <c r="C69" s="6">
        <v>100</v>
      </c>
      <c r="D69" s="6">
        <v>100</v>
      </c>
    </row>
    <row r="70" spans="1:4" x14ac:dyDescent="0.35">
      <c r="A70" s="8">
        <v>50</v>
      </c>
      <c r="B70" s="6"/>
      <c r="C70" s="6">
        <v>100</v>
      </c>
      <c r="D70" s="6">
        <v>100</v>
      </c>
    </row>
    <row r="71" spans="1:4" x14ac:dyDescent="0.35">
      <c r="A71" s="9">
        <v>50</v>
      </c>
      <c r="B71" s="6"/>
      <c r="C71" s="6">
        <v>100</v>
      </c>
      <c r="D71" s="6">
        <v>100</v>
      </c>
    </row>
    <row r="72" spans="1:4" x14ac:dyDescent="0.35">
      <c r="A72" s="10">
        <v>0</v>
      </c>
      <c r="B72" s="6"/>
      <c r="C72" s="6">
        <v>100</v>
      </c>
      <c r="D72" s="6">
        <v>100</v>
      </c>
    </row>
    <row r="73" spans="1:4" x14ac:dyDescent="0.35">
      <c r="A73" s="11">
        <v>88</v>
      </c>
      <c r="B73" s="6"/>
      <c r="C73" s="6">
        <v>100</v>
      </c>
      <c r="D73" s="6">
        <v>100</v>
      </c>
    </row>
    <row r="74" spans="1:4" x14ac:dyDescent="0.35">
      <c r="A74" s="7">
        <v>56</v>
      </c>
      <c r="B74" s="6"/>
      <c r="C74" s="6">
        <v>100</v>
      </c>
      <c r="D74" s="6">
        <v>100</v>
      </c>
    </row>
    <row r="75" spans="1:4" x14ac:dyDescent="0.35">
      <c r="A75" s="8">
        <v>57</v>
      </c>
      <c r="B75" s="6"/>
      <c r="C75" s="6">
        <v>100</v>
      </c>
      <c r="D75" s="6">
        <v>100</v>
      </c>
    </row>
    <row r="76" spans="1:4" x14ac:dyDescent="0.35">
      <c r="A76" s="9">
        <v>17</v>
      </c>
      <c r="B76" s="6"/>
      <c r="C76" s="6">
        <v>100</v>
      </c>
      <c r="D76" s="6">
        <v>100</v>
      </c>
    </row>
    <row r="77" spans="1:4" x14ac:dyDescent="0.35">
      <c r="A77" s="10">
        <v>0</v>
      </c>
      <c r="B77" s="6"/>
      <c r="C77" s="6">
        <v>100</v>
      </c>
      <c r="D77" s="6">
        <v>100</v>
      </c>
    </row>
    <row r="78" spans="1:4" x14ac:dyDescent="0.35">
      <c r="A78" s="11">
        <v>50</v>
      </c>
      <c r="B78" s="6"/>
      <c r="C78" s="6">
        <v>100</v>
      </c>
      <c r="D78" s="6">
        <v>100</v>
      </c>
    </row>
    <row r="79" spans="1:4" x14ac:dyDescent="0.35">
      <c r="A79" s="3">
        <v>60</v>
      </c>
      <c r="B79" s="6"/>
      <c r="C79" s="6">
        <v>78</v>
      </c>
      <c r="D79" s="6">
        <v>78</v>
      </c>
    </row>
    <row r="80" spans="1:4" x14ac:dyDescent="0.35">
      <c r="A80" s="7">
        <v>78</v>
      </c>
      <c r="B80" s="6"/>
      <c r="C80" s="6">
        <v>78</v>
      </c>
      <c r="D80" s="6">
        <v>78</v>
      </c>
    </row>
    <row r="81" spans="1:4" x14ac:dyDescent="0.35">
      <c r="A81" s="8">
        <v>43</v>
      </c>
      <c r="B81" s="6"/>
      <c r="C81" s="6">
        <v>78</v>
      </c>
      <c r="D81" s="6">
        <v>78</v>
      </c>
    </row>
    <row r="82" spans="1:4" x14ac:dyDescent="0.35">
      <c r="A82" s="9">
        <v>50</v>
      </c>
      <c r="B82" s="6"/>
      <c r="C82" s="6">
        <v>78</v>
      </c>
      <c r="D82" s="6">
        <v>78</v>
      </c>
    </row>
    <row r="83" spans="1:4" x14ac:dyDescent="0.35">
      <c r="A83" s="10">
        <v>67</v>
      </c>
      <c r="B83" s="6"/>
      <c r="C83" s="6">
        <v>78</v>
      </c>
      <c r="D83" s="6">
        <v>78</v>
      </c>
    </row>
    <row r="84" spans="1:4" x14ac:dyDescent="0.35">
      <c r="A84" s="11">
        <v>38</v>
      </c>
      <c r="B84" s="6"/>
      <c r="C84" s="6">
        <v>78</v>
      </c>
      <c r="D84" s="6">
        <v>78</v>
      </c>
    </row>
    <row r="85" spans="1:4" x14ac:dyDescent="0.35">
      <c r="A85" s="7">
        <v>67</v>
      </c>
      <c r="B85" s="6"/>
      <c r="C85" s="6">
        <v>78</v>
      </c>
      <c r="D85" s="6">
        <v>78</v>
      </c>
    </row>
    <row r="86" spans="1:4" x14ac:dyDescent="0.35">
      <c r="A86" s="8">
        <v>38</v>
      </c>
      <c r="B86" s="6"/>
      <c r="C86" s="6">
        <v>78</v>
      </c>
      <c r="D86" s="6">
        <v>78</v>
      </c>
    </row>
    <row r="87" spans="1:4" x14ac:dyDescent="0.35">
      <c r="A87" s="9">
        <v>83</v>
      </c>
      <c r="B87" s="6"/>
      <c r="C87" s="6">
        <v>78</v>
      </c>
      <c r="D87" s="6">
        <v>78</v>
      </c>
    </row>
    <row r="88" spans="1:4" x14ac:dyDescent="0.35">
      <c r="A88" s="10">
        <v>67</v>
      </c>
      <c r="B88" s="6"/>
      <c r="C88" s="6">
        <v>78</v>
      </c>
      <c r="D88" s="6">
        <v>78</v>
      </c>
    </row>
    <row r="89" spans="1:4" x14ac:dyDescent="0.35">
      <c r="A89" s="11">
        <v>38</v>
      </c>
      <c r="B89" s="6"/>
      <c r="C89" s="6">
        <v>78</v>
      </c>
      <c r="D89" s="6">
        <v>78</v>
      </c>
    </row>
    <row r="90" spans="1:4" x14ac:dyDescent="0.35">
      <c r="A90" s="3">
        <v>40</v>
      </c>
      <c r="B90" s="6"/>
      <c r="C90" s="6">
        <v>81.666666666666671</v>
      </c>
      <c r="D90" s="6">
        <v>81.666666666666671</v>
      </c>
    </row>
    <row r="91" spans="1:4" x14ac:dyDescent="0.35">
      <c r="A91" s="7">
        <v>78</v>
      </c>
      <c r="B91" s="6"/>
      <c r="C91" s="6">
        <v>89</v>
      </c>
      <c r="D91" s="6">
        <v>89</v>
      </c>
    </row>
    <row r="92" spans="1:4" x14ac:dyDescent="0.35">
      <c r="A92" s="8">
        <v>43</v>
      </c>
      <c r="B92" s="6"/>
      <c r="C92" s="6">
        <v>89</v>
      </c>
      <c r="D92" s="6">
        <v>89</v>
      </c>
    </row>
    <row r="93" spans="1:4" x14ac:dyDescent="0.35">
      <c r="A93" s="9">
        <v>50</v>
      </c>
      <c r="B93" s="6"/>
      <c r="C93" s="6">
        <v>89</v>
      </c>
      <c r="D93" s="6">
        <v>89</v>
      </c>
    </row>
    <row r="94" spans="1:4" x14ac:dyDescent="0.35">
      <c r="A94" s="10">
        <v>67</v>
      </c>
      <c r="B94" s="6"/>
      <c r="C94" s="6">
        <v>89</v>
      </c>
      <c r="D94" s="6">
        <v>89</v>
      </c>
    </row>
    <row r="95" spans="1:4" x14ac:dyDescent="0.35">
      <c r="A95" s="11">
        <v>63</v>
      </c>
      <c r="B95" s="6"/>
      <c r="C95" s="6">
        <v>89</v>
      </c>
      <c r="D95" s="6">
        <v>89</v>
      </c>
    </row>
    <row r="96" spans="1:4" x14ac:dyDescent="0.35">
      <c r="A96" s="7">
        <v>67</v>
      </c>
      <c r="B96" s="6"/>
      <c r="C96" s="6">
        <v>78</v>
      </c>
      <c r="D96" s="6">
        <v>78</v>
      </c>
    </row>
    <row r="97" spans="1:4" x14ac:dyDescent="0.35">
      <c r="A97" s="8">
        <v>38</v>
      </c>
      <c r="B97" s="6"/>
      <c r="C97" s="6">
        <v>78</v>
      </c>
      <c r="D97" s="6">
        <v>78</v>
      </c>
    </row>
    <row r="98" spans="1:4" x14ac:dyDescent="0.35">
      <c r="A98" s="9">
        <v>50</v>
      </c>
      <c r="B98" s="6"/>
      <c r="C98" s="6">
        <v>78</v>
      </c>
      <c r="D98" s="6">
        <v>78</v>
      </c>
    </row>
    <row r="99" spans="1:4" x14ac:dyDescent="0.35">
      <c r="A99" s="10">
        <v>33</v>
      </c>
      <c r="B99" s="6"/>
      <c r="C99" s="6">
        <v>78</v>
      </c>
      <c r="D99" s="6">
        <v>78</v>
      </c>
    </row>
    <row r="100" spans="1:4" x14ac:dyDescent="0.35">
      <c r="A100" s="11">
        <v>88</v>
      </c>
      <c r="B100" s="6"/>
      <c r="C100" s="6">
        <v>78</v>
      </c>
      <c r="D100" s="6">
        <v>78</v>
      </c>
    </row>
    <row r="101" spans="1:4" x14ac:dyDescent="0.35">
      <c r="A101" s="7">
        <v>33</v>
      </c>
      <c r="B101" s="6"/>
      <c r="C101" s="6">
        <v>78</v>
      </c>
      <c r="D101" s="6">
        <v>78</v>
      </c>
    </row>
    <row r="102" spans="1:4" x14ac:dyDescent="0.35">
      <c r="A102" s="8">
        <v>57</v>
      </c>
      <c r="B102" s="6"/>
      <c r="C102" s="6">
        <v>78</v>
      </c>
      <c r="D102" s="6">
        <v>78</v>
      </c>
    </row>
    <row r="103" spans="1:4" x14ac:dyDescent="0.35">
      <c r="A103" s="9">
        <v>50</v>
      </c>
      <c r="B103" s="6"/>
      <c r="C103" s="6">
        <v>78</v>
      </c>
      <c r="D103" s="6">
        <v>78</v>
      </c>
    </row>
    <row r="104" spans="1:4" x14ac:dyDescent="0.35">
      <c r="A104" s="10">
        <v>100</v>
      </c>
      <c r="B104" s="6"/>
      <c r="C104" s="6">
        <v>78</v>
      </c>
      <c r="D104" s="6">
        <v>78</v>
      </c>
    </row>
    <row r="105" spans="1:4" x14ac:dyDescent="0.35">
      <c r="A105" s="11">
        <v>25</v>
      </c>
      <c r="B105" s="6"/>
      <c r="C105" s="6">
        <v>78</v>
      </c>
      <c r="D105" s="6">
        <v>78</v>
      </c>
    </row>
    <row r="106" spans="1:4" x14ac:dyDescent="0.35">
      <c r="A106" s="3">
        <v>20</v>
      </c>
      <c r="B106" s="6"/>
      <c r="C106" s="6">
        <v>89</v>
      </c>
      <c r="D106" s="6">
        <v>89</v>
      </c>
    </row>
    <row r="107" spans="1:4" x14ac:dyDescent="0.35">
      <c r="A107" s="7">
        <v>78</v>
      </c>
      <c r="B107" s="6"/>
      <c r="C107" s="6">
        <v>89</v>
      </c>
      <c r="D107" s="6">
        <v>89</v>
      </c>
    </row>
    <row r="108" spans="1:4" x14ac:dyDescent="0.35">
      <c r="A108" s="8">
        <v>38</v>
      </c>
      <c r="B108" s="6"/>
      <c r="C108" s="6">
        <v>89</v>
      </c>
      <c r="D108" s="6">
        <v>89</v>
      </c>
    </row>
    <row r="109" spans="1:4" x14ac:dyDescent="0.35">
      <c r="A109" s="9">
        <v>50</v>
      </c>
      <c r="B109" s="6"/>
      <c r="C109" s="6">
        <v>89</v>
      </c>
      <c r="D109" s="6">
        <v>89</v>
      </c>
    </row>
    <row r="110" spans="1:4" x14ac:dyDescent="0.35">
      <c r="A110" s="10">
        <v>67</v>
      </c>
      <c r="B110" s="6"/>
      <c r="C110" s="6">
        <v>89</v>
      </c>
      <c r="D110" s="6">
        <v>89</v>
      </c>
    </row>
    <row r="111" spans="1:4" x14ac:dyDescent="0.35">
      <c r="A111" s="11">
        <v>13</v>
      </c>
      <c r="B111" s="6"/>
      <c r="C111" s="6">
        <v>89</v>
      </c>
      <c r="D111" s="6">
        <v>89</v>
      </c>
    </row>
    <row r="112" spans="1:4" x14ac:dyDescent="0.35">
      <c r="A112" s="3">
        <v>0</v>
      </c>
      <c r="B112" s="6"/>
      <c r="C112" s="6">
        <v>89</v>
      </c>
      <c r="D112" s="6">
        <v>89</v>
      </c>
    </row>
    <row r="113" spans="1:4" x14ac:dyDescent="0.35">
      <c r="A113" s="7">
        <v>89</v>
      </c>
      <c r="B113" s="6"/>
      <c r="C113" s="6">
        <v>78</v>
      </c>
      <c r="D113" s="6">
        <v>78</v>
      </c>
    </row>
    <row r="114" spans="1:4" x14ac:dyDescent="0.35">
      <c r="A114" s="8">
        <v>38</v>
      </c>
      <c r="B114" s="6"/>
      <c r="C114" s="6">
        <v>78</v>
      </c>
      <c r="D114" s="6">
        <v>78</v>
      </c>
    </row>
    <row r="115" spans="1:4" x14ac:dyDescent="0.35">
      <c r="A115" s="9">
        <v>83</v>
      </c>
      <c r="B115" s="6"/>
      <c r="C115" s="6">
        <v>78</v>
      </c>
      <c r="D115" s="6">
        <v>78</v>
      </c>
    </row>
    <row r="116" spans="1:4" x14ac:dyDescent="0.35">
      <c r="A116" s="10">
        <v>100</v>
      </c>
      <c r="B116" s="6"/>
      <c r="C116" s="6">
        <v>78</v>
      </c>
      <c r="D116" s="6">
        <v>78</v>
      </c>
    </row>
    <row r="117" spans="1:4" x14ac:dyDescent="0.35">
      <c r="A117" s="11">
        <v>38</v>
      </c>
      <c r="B117" s="6"/>
      <c r="C117" s="6">
        <v>78</v>
      </c>
      <c r="D117" s="6">
        <v>78</v>
      </c>
    </row>
    <row r="118" spans="1:4" x14ac:dyDescent="0.35">
      <c r="A118" s="7">
        <v>80</v>
      </c>
      <c r="B118" s="6"/>
      <c r="C118" s="6">
        <v>94.5</v>
      </c>
      <c r="D118" s="6">
        <v>94.5</v>
      </c>
    </row>
    <row r="119" spans="1:4" x14ac:dyDescent="0.35">
      <c r="A119" s="8">
        <v>63</v>
      </c>
      <c r="B119" s="6"/>
      <c r="C119" s="6">
        <v>89</v>
      </c>
      <c r="D119" s="6">
        <v>89</v>
      </c>
    </row>
    <row r="120" spans="1:4" x14ac:dyDescent="0.35">
      <c r="A120" s="9">
        <v>83</v>
      </c>
      <c r="B120" s="6"/>
      <c r="C120" s="6">
        <v>89</v>
      </c>
      <c r="D120" s="6">
        <v>89</v>
      </c>
    </row>
    <row r="121" spans="1:4" x14ac:dyDescent="0.35">
      <c r="A121" s="10">
        <v>100</v>
      </c>
      <c r="B121" s="6"/>
      <c r="C121" s="6">
        <v>89</v>
      </c>
      <c r="D121" s="6">
        <v>89</v>
      </c>
    </row>
    <row r="122" spans="1:4" x14ac:dyDescent="0.35">
      <c r="A122" s="11">
        <v>38</v>
      </c>
      <c r="B122" s="6"/>
      <c r="C122" s="6">
        <v>89</v>
      </c>
      <c r="D122" s="6">
        <v>89</v>
      </c>
    </row>
    <row r="123" spans="1:4" x14ac:dyDescent="0.35">
      <c r="A123" s="8">
        <v>50</v>
      </c>
      <c r="B123" s="6"/>
      <c r="C123" s="6">
        <v>100</v>
      </c>
      <c r="D123" s="6">
        <v>100</v>
      </c>
    </row>
    <row r="124" spans="1:4" x14ac:dyDescent="0.35">
      <c r="A124" s="9">
        <v>50</v>
      </c>
      <c r="B124" s="6"/>
      <c r="C124" s="6">
        <v>100</v>
      </c>
      <c r="D124" s="6">
        <v>100</v>
      </c>
    </row>
    <row r="125" spans="1:4" x14ac:dyDescent="0.35">
      <c r="A125" s="10">
        <v>100</v>
      </c>
      <c r="B125" s="6"/>
      <c r="C125" s="6">
        <v>100</v>
      </c>
      <c r="D125" s="6">
        <v>100</v>
      </c>
    </row>
    <row r="126" spans="1:4" x14ac:dyDescent="0.35">
      <c r="A126" s="11">
        <v>50</v>
      </c>
      <c r="B126" s="6"/>
      <c r="C126" s="6">
        <v>100</v>
      </c>
      <c r="D126" s="6">
        <v>100</v>
      </c>
    </row>
    <row r="127" spans="1:4" x14ac:dyDescent="0.35">
      <c r="A127" s="3" t="s">
        <v>1</v>
      </c>
      <c r="B127" s="6">
        <v>96.7</v>
      </c>
      <c r="C127" s="6">
        <v>88.3125</v>
      </c>
      <c r="D127" s="6">
        <v>91.538461538461533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918DB-56B0-4FB6-9844-52B65A58B966}">
  <dimension ref="A1:M86"/>
  <sheetViews>
    <sheetView topLeftCell="A2" zoomScale="81" workbookViewId="0">
      <selection sqref="A1:M62"/>
    </sheetView>
  </sheetViews>
  <sheetFormatPr defaultRowHeight="14.5" x14ac:dyDescent="0.35"/>
  <cols>
    <col min="1" max="1" width="15.54296875" bestFit="1" customWidth="1"/>
    <col min="2" max="2" width="17.81640625" bestFit="1" customWidth="1"/>
    <col min="3" max="3" width="18.6328125" bestFit="1" customWidth="1"/>
    <col min="4" max="4" width="19.26953125" bestFit="1" customWidth="1"/>
    <col min="5" max="5" width="21" bestFit="1" customWidth="1"/>
    <col min="6" max="6" width="13.453125" bestFit="1" customWidth="1"/>
    <col min="7" max="7" width="22.26953125" bestFit="1" customWidth="1"/>
    <col min="8" max="8" width="28.6328125" bestFit="1" customWidth="1"/>
    <col min="9" max="9" width="23.08984375" bestFit="1" customWidth="1"/>
    <col min="10" max="10" width="18.6328125" bestFit="1" customWidth="1"/>
    <col min="11" max="11" width="22.6328125" bestFit="1" customWidth="1"/>
    <col min="12" max="12" width="8.08984375" bestFit="1" customWidth="1"/>
    <col min="13" max="13" width="20.54296875" bestFit="1" customWidth="1"/>
  </cols>
  <sheetData>
    <row r="1" spans="1:13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18</v>
      </c>
    </row>
    <row r="2" spans="1:13" x14ac:dyDescent="0.35">
      <c r="A2">
        <v>11095574</v>
      </c>
      <c r="B2" s="2">
        <v>44842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 t="s">
        <v>14</v>
      </c>
      <c r="M2" t="str">
        <f>IF(C2&gt;=90, "High Performer", IF(C2&gt;=70, "Average Performer", IF(C2&gt;=50, "Low Performer", "Bottom Performer")))</f>
        <v>High Performer</v>
      </c>
    </row>
    <row r="3" spans="1:13" x14ac:dyDescent="0.35">
      <c r="A3">
        <v>11098282</v>
      </c>
      <c r="B3" s="2">
        <v>44854</v>
      </c>
      <c r="C3">
        <v>96</v>
      </c>
      <c r="D3">
        <v>100</v>
      </c>
      <c r="E3">
        <v>100</v>
      </c>
      <c r="F3">
        <v>80</v>
      </c>
      <c r="G3">
        <v>83</v>
      </c>
      <c r="H3">
        <v>100</v>
      </c>
      <c r="I3">
        <v>100</v>
      </c>
      <c r="J3">
        <v>100</v>
      </c>
      <c r="K3">
        <v>100</v>
      </c>
      <c r="L3" t="s">
        <v>17</v>
      </c>
      <c r="M3" t="str">
        <f>IF(C3&gt;=90, "High Performer", IF(C3&gt;=70, "Average Performer", IF(C3&gt;=50, "Low Performer", "Bottom Performer")))</f>
        <v>High Performer</v>
      </c>
    </row>
    <row r="4" spans="1:13" x14ac:dyDescent="0.35">
      <c r="A4">
        <v>11087027</v>
      </c>
      <c r="B4" s="2">
        <v>44841</v>
      </c>
      <c r="C4">
        <v>94</v>
      </c>
      <c r="D4">
        <v>100</v>
      </c>
      <c r="E4">
        <v>89</v>
      </c>
      <c r="F4">
        <v>100</v>
      </c>
      <c r="G4">
        <v>100</v>
      </c>
      <c r="H4">
        <v>100</v>
      </c>
      <c r="I4">
        <v>100</v>
      </c>
      <c r="J4">
        <v>75</v>
      </c>
      <c r="K4">
        <v>100</v>
      </c>
      <c r="L4" t="s">
        <v>16</v>
      </c>
      <c r="M4" t="str">
        <f>IF(C4&gt;=90, "High Performer", IF(C4&gt;=70, "Average Performer", IF(C4&gt;=50, "Low Performer", "Bottom Performer")))</f>
        <v>High Performer</v>
      </c>
    </row>
    <row r="5" spans="1:13" x14ac:dyDescent="0.35">
      <c r="A5">
        <v>11095575</v>
      </c>
      <c r="B5" s="2">
        <v>44845</v>
      </c>
      <c r="C5">
        <v>94</v>
      </c>
      <c r="D5">
        <v>89</v>
      </c>
      <c r="E5">
        <v>90</v>
      </c>
      <c r="F5">
        <v>100</v>
      </c>
      <c r="G5">
        <v>100</v>
      </c>
      <c r="H5">
        <v>100</v>
      </c>
      <c r="I5">
        <v>100</v>
      </c>
      <c r="J5">
        <v>88</v>
      </c>
      <c r="K5">
        <v>100</v>
      </c>
      <c r="L5" t="s">
        <v>14</v>
      </c>
      <c r="M5" t="str">
        <f>IF(C5&gt;=90, "High Performer", IF(C5&gt;=70, "Average Performer", IF(C5&gt;=50, "Low Performer", "Bottom Performer")))</f>
        <v>High Performer</v>
      </c>
    </row>
    <row r="6" spans="1:13" x14ac:dyDescent="0.35">
      <c r="A6">
        <v>11095745</v>
      </c>
      <c r="B6" s="2">
        <v>44852</v>
      </c>
      <c r="C6">
        <v>94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63</v>
      </c>
      <c r="K6">
        <v>100</v>
      </c>
      <c r="L6" t="s">
        <v>17</v>
      </c>
      <c r="M6" t="str">
        <f>IF(C6&gt;=90, "High Performer", IF(C6&gt;=70, "Average Performer", IF(C6&gt;=50, "Low Performer", "Bottom Performer")))</f>
        <v>High Performer</v>
      </c>
    </row>
    <row r="7" spans="1:13" x14ac:dyDescent="0.35">
      <c r="A7">
        <v>11095982</v>
      </c>
      <c r="B7" s="2">
        <v>44854</v>
      </c>
      <c r="C7">
        <v>94</v>
      </c>
      <c r="D7">
        <v>100</v>
      </c>
      <c r="E7">
        <v>100</v>
      </c>
      <c r="F7">
        <v>100</v>
      </c>
      <c r="G7">
        <v>67</v>
      </c>
      <c r="H7">
        <v>100</v>
      </c>
      <c r="I7">
        <v>100</v>
      </c>
      <c r="J7">
        <v>88</v>
      </c>
      <c r="K7">
        <v>100</v>
      </c>
      <c r="L7" t="s">
        <v>14</v>
      </c>
      <c r="M7" t="str">
        <f>IF(C7&gt;=90, "High Performer", IF(C7&gt;=70, "Average Performer", IF(C7&gt;=50, "Low Performer", "Bottom Performer")))</f>
        <v>High Performer</v>
      </c>
    </row>
    <row r="8" spans="1:13" x14ac:dyDescent="0.35">
      <c r="A8">
        <v>11106986</v>
      </c>
      <c r="B8" s="2">
        <v>44861</v>
      </c>
      <c r="C8">
        <v>94</v>
      </c>
      <c r="D8">
        <v>100</v>
      </c>
      <c r="E8">
        <v>100</v>
      </c>
      <c r="F8">
        <v>100</v>
      </c>
      <c r="G8">
        <v>83</v>
      </c>
      <c r="H8">
        <v>100</v>
      </c>
      <c r="I8">
        <v>100</v>
      </c>
      <c r="J8">
        <v>75</v>
      </c>
      <c r="K8">
        <v>100</v>
      </c>
      <c r="L8" t="s">
        <v>14</v>
      </c>
      <c r="M8" t="str">
        <f>IF(C8&gt;=90, "High Performer", IF(C8&gt;=70, "Average Performer", IF(C8&gt;=50, "Low Performer", "Bottom Performer")))</f>
        <v>High Performer</v>
      </c>
    </row>
    <row r="9" spans="1:13" x14ac:dyDescent="0.35">
      <c r="A9">
        <v>11085599</v>
      </c>
      <c r="B9" s="2">
        <v>44842</v>
      </c>
      <c r="C9">
        <v>92</v>
      </c>
      <c r="D9">
        <v>78</v>
      </c>
      <c r="E9">
        <v>100</v>
      </c>
      <c r="F9">
        <v>100</v>
      </c>
      <c r="G9">
        <v>100</v>
      </c>
      <c r="H9">
        <v>100</v>
      </c>
      <c r="I9">
        <v>100</v>
      </c>
      <c r="J9">
        <v>75</v>
      </c>
      <c r="K9">
        <v>100</v>
      </c>
      <c r="L9" t="s">
        <v>15</v>
      </c>
      <c r="M9" t="str">
        <f>IF(C9&gt;=90, "High Performer", IF(C9&gt;=70, "Average Performer", IF(C9&gt;=50, "Low Performer", "Bottom Performer")))</f>
        <v>High Performer</v>
      </c>
    </row>
    <row r="10" spans="1:13" x14ac:dyDescent="0.35">
      <c r="A10">
        <v>11097814</v>
      </c>
      <c r="B10" s="2">
        <v>44852</v>
      </c>
      <c r="C10">
        <v>92</v>
      </c>
      <c r="D10">
        <v>100</v>
      </c>
      <c r="E10">
        <v>100</v>
      </c>
      <c r="F10">
        <v>100</v>
      </c>
      <c r="G10">
        <v>100</v>
      </c>
      <c r="H10">
        <v>75</v>
      </c>
      <c r="I10">
        <v>100</v>
      </c>
      <c r="J10">
        <v>75</v>
      </c>
      <c r="K10">
        <v>100</v>
      </c>
      <c r="L10" t="s">
        <v>15</v>
      </c>
      <c r="M10" t="str">
        <f>IF(C10&gt;=90, "High Performer", IF(C10&gt;=70, "Average Performer", IF(C10&gt;=50, "Low Performer", "Bottom Performer")))</f>
        <v>High Performer</v>
      </c>
    </row>
    <row r="11" spans="1:13" x14ac:dyDescent="0.35">
      <c r="A11">
        <v>11083658</v>
      </c>
      <c r="B11" s="2">
        <v>44846</v>
      </c>
      <c r="C11">
        <v>90</v>
      </c>
      <c r="D11">
        <v>100</v>
      </c>
      <c r="E11">
        <v>100</v>
      </c>
      <c r="F11">
        <v>100</v>
      </c>
      <c r="G11">
        <v>83</v>
      </c>
      <c r="H11">
        <v>88</v>
      </c>
      <c r="I11">
        <v>100</v>
      </c>
      <c r="J11">
        <v>63</v>
      </c>
      <c r="K11">
        <v>100</v>
      </c>
      <c r="L11" t="s">
        <v>16</v>
      </c>
      <c r="M11" t="str">
        <f>IF(C11&gt;=90, "High Performer", IF(C11&gt;=70, "Average Performer", IF(C11&gt;=50, "Low Performer", "Bottom Performer")))</f>
        <v>High Performer</v>
      </c>
    </row>
    <row r="12" spans="1:13" x14ac:dyDescent="0.35">
      <c r="A12">
        <v>11084763</v>
      </c>
      <c r="B12" s="2">
        <v>44845</v>
      </c>
      <c r="C12">
        <v>89</v>
      </c>
      <c r="D12">
        <v>89</v>
      </c>
      <c r="E12">
        <v>100</v>
      </c>
      <c r="F12">
        <v>80</v>
      </c>
      <c r="G12">
        <v>83</v>
      </c>
      <c r="H12">
        <v>88</v>
      </c>
      <c r="I12">
        <v>67</v>
      </c>
      <c r="J12">
        <v>100</v>
      </c>
      <c r="K12">
        <v>100</v>
      </c>
      <c r="L12" t="s">
        <v>15</v>
      </c>
      <c r="M12" t="str">
        <f>IF(C12&gt;=90, "High Performer", IF(C12&gt;=70, "Average Performer", IF(C12&gt;=50, "Low Performer", "Bottom Performer")))</f>
        <v>Average Performer</v>
      </c>
    </row>
    <row r="13" spans="1:13" x14ac:dyDescent="0.35">
      <c r="A13">
        <v>11084792</v>
      </c>
      <c r="B13" s="2">
        <v>44844</v>
      </c>
      <c r="C13">
        <v>88</v>
      </c>
      <c r="D13">
        <v>89</v>
      </c>
      <c r="E13">
        <v>100</v>
      </c>
      <c r="F13">
        <v>100</v>
      </c>
      <c r="G13">
        <v>83</v>
      </c>
      <c r="H13">
        <v>88</v>
      </c>
      <c r="I13">
        <v>100</v>
      </c>
      <c r="J13">
        <v>63</v>
      </c>
      <c r="K13">
        <v>100</v>
      </c>
      <c r="L13" t="s">
        <v>14</v>
      </c>
      <c r="M13" t="str">
        <f>IF(C13&gt;=90, "High Performer", IF(C13&gt;=70, "Average Performer", IF(C13&gt;=50, "Low Performer", "Bottom Performer")))</f>
        <v>Average Performer</v>
      </c>
    </row>
    <row r="14" spans="1:13" x14ac:dyDescent="0.35">
      <c r="A14">
        <v>11108719</v>
      </c>
      <c r="B14" s="2">
        <v>44862</v>
      </c>
      <c r="C14">
        <v>88</v>
      </c>
      <c r="D14">
        <v>78</v>
      </c>
      <c r="E14">
        <v>100</v>
      </c>
      <c r="F14">
        <v>80</v>
      </c>
      <c r="G14">
        <v>100</v>
      </c>
      <c r="H14">
        <v>100</v>
      </c>
      <c r="I14">
        <v>100</v>
      </c>
      <c r="J14">
        <v>63</v>
      </c>
      <c r="K14">
        <v>100</v>
      </c>
      <c r="L14" t="s">
        <v>16</v>
      </c>
      <c r="M14" t="str">
        <f>IF(C14&gt;=90, "High Performer", IF(C14&gt;=70, "Average Performer", IF(C14&gt;=50, "Low Performer", "Bottom Performer")))</f>
        <v>Average Performer</v>
      </c>
    </row>
    <row r="15" spans="1:13" x14ac:dyDescent="0.35">
      <c r="A15">
        <v>11083235</v>
      </c>
      <c r="B15" s="2">
        <v>44842</v>
      </c>
      <c r="C15">
        <v>86</v>
      </c>
      <c r="D15">
        <v>100</v>
      </c>
      <c r="E15">
        <v>100</v>
      </c>
      <c r="F15">
        <v>100</v>
      </c>
      <c r="G15">
        <v>67</v>
      </c>
      <c r="H15">
        <v>75</v>
      </c>
      <c r="I15">
        <v>100</v>
      </c>
      <c r="J15">
        <v>63</v>
      </c>
      <c r="K15">
        <v>100</v>
      </c>
      <c r="L15" t="s">
        <v>15</v>
      </c>
      <c r="M15" t="str">
        <f>IF(C15&gt;=90, "High Performer", IF(C15&gt;=70, "Average Performer", IF(C15&gt;=50, "Low Performer", "Bottom Performer")))</f>
        <v>Average Performer</v>
      </c>
    </row>
    <row r="16" spans="1:13" x14ac:dyDescent="0.35">
      <c r="A16">
        <v>11083781</v>
      </c>
      <c r="B16" s="2">
        <v>44846</v>
      </c>
      <c r="C16">
        <v>86</v>
      </c>
      <c r="D16">
        <v>78</v>
      </c>
      <c r="E16">
        <v>80</v>
      </c>
      <c r="F16">
        <v>100</v>
      </c>
      <c r="G16">
        <v>100</v>
      </c>
      <c r="H16">
        <v>100</v>
      </c>
      <c r="I16">
        <v>100</v>
      </c>
      <c r="J16">
        <v>63</v>
      </c>
      <c r="K16">
        <v>100</v>
      </c>
      <c r="L16" t="s">
        <v>15</v>
      </c>
      <c r="M16" t="str">
        <f>IF(C16&gt;=90, "High Performer", IF(C16&gt;=70, "Average Performer", IF(C16&gt;=50, "Low Performer", "Bottom Performer")))</f>
        <v>Average Performer</v>
      </c>
    </row>
    <row r="17" spans="1:13" x14ac:dyDescent="0.35">
      <c r="A17">
        <v>11095940</v>
      </c>
      <c r="B17" s="2">
        <v>44851</v>
      </c>
      <c r="C17">
        <v>86</v>
      </c>
      <c r="D17">
        <v>100</v>
      </c>
      <c r="E17">
        <v>100</v>
      </c>
      <c r="F17">
        <v>100</v>
      </c>
      <c r="G17">
        <v>67</v>
      </c>
      <c r="H17">
        <v>63</v>
      </c>
      <c r="I17">
        <v>100</v>
      </c>
      <c r="J17">
        <v>75</v>
      </c>
      <c r="K17">
        <v>100</v>
      </c>
      <c r="L17" t="s">
        <v>15</v>
      </c>
      <c r="M17" t="str">
        <f>IF(C17&gt;=90, "High Performer", IF(C17&gt;=70, "Average Performer", IF(C17&gt;=50, "Low Performer", "Bottom Performer")))</f>
        <v>Average Performer</v>
      </c>
    </row>
    <row r="18" spans="1:13" x14ac:dyDescent="0.35">
      <c r="A18">
        <v>11083483</v>
      </c>
      <c r="B18" s="2">
        <v>44840</v>
      </c>
      <c r="C18">
        <v>84</v>
      </c>
      <c r="D18">
        <v>89</v>
      </c>
      <c r="E18">
        <v>80</v>
      </c>
      <c r="F18">
        <v>80</v>
      </c>
      <c r="G18">
        <v>100</v>
      </c>
      <c r="H18">
        <v>63</v>
      </c>
      <c r="I18">
        <v>100</v>
      </c>
      <c r="J18">
        <v>88</v>
      </c>
      <c r="K18">
        <v>100</v>
      </c>
      <c r="L18" t="s">
        <v>14</v>
      </c>
      <c r="M18" t="str">
        <f>IF(C18&gt;=90, "High Performer", IF(C18&gt;=70, "Average Performer", IF(C18&gt;=50, "Low Performer", "Bottom Performer")))</f>
        <v>Average Performer</v>
      </c>
    </row>
    <row r="19" spans="1:13" x14ac:dyDescent="0.35">
      <c r="A19">
        <v>11083490</v>
      </c>
      <c r="B19" s="2">
        <v>44852</v>
      </c>
      <c r="C19">
        <v>84</v>
      </c>
      <c r="D19">
        <v>89</v>
      </c>
      <c r="E19">
        <v>80</v>
      </c>
      <c r="F19">
        <v>80</v>
      </c>
      <c r="G19">
        <v>100</v>
      </c>
      <c r="H19">
        <v>63</v>
      </c>
      <c r="I19">
        <v>100</v>
      </c>
      <c r="J19">
        <v>88</v>
      </c>
      <c r="K19">
        <v>100</v>
      </c>
      <c r="L19" t="s">
        <v>14</v>
      </c>
      <c r="M19" t="str">
        <f>IF(C19&gt;=90, "High Performer", IF(C19&gt;=70, "Average Performer", IF(C19&gt;=50, "Low Performer", "Bottom Performer")))</f>
        <v>Average Performer</v>
      </c>
    </row>
    <row r="20" spans="1:13" x14ac:dyDescent="0.35">
      <c r="A20">
        <v>11083867</v>
      </c>
      <c r="B20" s="2">
        <v>44842</v>
      </c>
      <c r="C20">
        <v>84</v>
      </c>
      <c r="D20">
        <v>89</v>
      </c>
      <c r="E20">
        <v>89</v>
      </c>
      <c r="F20">
        <v>80</v>
      </c>
      <c r="G20">
        <v>83</v>
      </c>
      <c r="H20">
        <v>100</v>
      </c>
      <c r="I20">
        <v>100</v>
      </c>
      <c r="J20">
        <v>50</v>
      </c>
      <c r="K20">
        <v>100</v>
      </c>
      <c r="L20" t="s">
        <v>16</v>
      </c>
      <c r="M20" t="str">
        <f>IF(C20&gt;=90, "High Performer", IF(C20&gt;=70, "Average Performer", IF(C20&gt;=50, "Low Performer", "Bottom Performer")))</f>
        <v>Average Performer</v>
      </c>
    </row>
    <row r="21" spans="1:13" x14ac:dyDescent="0.35">
      <c r="A21">
        <v>11095309</v>
      </c>
      <c r="B21" s="2">
        <v>44849</v>
      </c>
      <c r="C21">
        <v>84</v>
      </c>
      <c r="D21">
        <v>78</v>
      </c>
      <c r="E21">
        <v>89</v>
      </c>
      <c r="F21">
        <v>80</v>
      </c>
      <c r="G21">
        <v>100</v>
      </c>
      <c r="H21">
        <v>75</v>
      </c>
      <c r="I21">
        <v>100</v>
      </c>
      <c r="J21">
        <v>75</v>
      </c>
      <c r="K21">
        <v>100</v>
      </c>
      <c r="L21" t="s">
        <v>15</v>
      </c>
      <c r="M21" t="str">
        <f>IF(C21&gt;=90, "High Performer", IF(C21&gt;=70, "Average Performer", IF(C21&gt;=50, "Low Performer", "Bottom Performer")))</f>
        <v>Average Performer</v>
      </c>
    </row>
    <row r="22" spans="1:13" x14ac:dyDescent="0.35">
      <c r="A22">
        <v>11086637</v>
      </c>
      <c r="B22" s="2">
        <v>44841</v>
      </c>
      <c r="C22">
        <v>83</v>
      </c>
      <c r="D22">
        <v>89</v>
      </c>
      <c r="E22">
        <v>67</v>
      </c>
      <c r="F22">
        <v>100</v>
      </c>
      <c r="G22">
        <v>100</v>
      </c>
      <c r="H22">
        <v>75</v>
      </c>
      <c r="I22">
        <v>100</v>
      </c>
      <c r="J22">
        <v>71</v>
      </c>
      <c r="K22">
        <v>100</v>
      </c>
      <c r="L22" t="s">
        <v>17</v>
      </c>
      <c r="M22" t="str">
        <f>IF(C22&gt;=90, "High Performer", IF(C22&gt;=70, "Average Performer", IF(C22&gt;=50, "Low Performer", "Bottom Performer")))</f>
        <v>Average Performer</v>
      </c>
    </row>
    <row r="23" spans="1:13" x14ac:dyDescent="0.35">
      <c r="A23">
        <v>11084789</v>
      </c>
      <c r="B23" s="2">
        <v>44844</v>
      </c>
      <c r="C23">
        <v>82</v>
      </c>
      <c r="D23">
        <v>89</v>
      </c>
      <c r="E23">
        <v>90</v>
      </c>
      <c r="F23">
        <v>80</v>
      </c>
      <c r="G23">
        <v>50</v>
      </c>
      <c r="H23">
        <v>88</v>
      </c>
      <c r="I23">
        <v>100</v>
      </c>
      <c r="J23">
        <v>75</v>
      </c>
      <c r="K23">
        <v>100</v>
      </c>
      <c r="L23" t="s">
        <v>14</v>
      </c>
      <c r="M23" t="str">
        <f>IF(C23&gt;=90, "High Performer", IF(C23&gt;=70, "Average Performer", IF(C23&gt;=50, "Low Performer", "Bottom Performer")))</f>
        <v>Average Performer</v>
      </c>
    </row>
    <row r="24" spans="1:13" x14ac:dyDescent="0.35">
      <c r="A24">
        <v>11090138</v>
      </c>
      <c r="B24" s="2">
        <v>44854</v>
      </c>
      <c r="C24">
        <v>82</v>
      </c>
      <c r="D24">
        <v>78</v>
      </c>
      <c r="E24">
        <v>89</v>
      </c>
      <c r="F24">
        <v>60</v>
      </c>
      <c r="G24">
        <v>100</v>
      </c>
      <c r="H24">
        <v>88</v>
      </c>
      <c r="I24">
        <v>100</v>
      </c>
      <c r="J24">
        <v>63</v>
      </c>
      <c r="K24">
        <v>100</v>
      </c>
      <c r="L24" t="s">
        <v>14</v>
      </c>
      <c r="M24" t="str">
        <f>IF(C24&gt;=90, "High Performer", IF(C24&gt;=70, "Average Performer", IF(C24&gt;=50, "Low Performer", "Bottom Performer")))</f>
        <v>Average Performer</v>
      </c>
    </row>
    <row r="25" spans="1:13" x14ac:dyDescent="0.35">
      <c r="A25">
        <v>11084847</v>
      </c>
      <c r="B25" s="2">
        <v>44842</v>
      </c>
      <c r="C25">
        <v>81</v>
      </c>
      <c r="D25">
        <v>89</v>
      </c>
      <c r="E25">
        <v>89</v>
      </c>
      <c r="F25">
        <v>80</v>
      </c>
      <c r="G25">
        <v>83</v>
      </c>
      <c r="H25">
        <v>75</v>
      </c>
      <c r="I25">
        <v>67</v>
      </c>
      <c r="J25">
        <v>71</v>
      </c>
      <c r="K25">
        <v>100</v>
      </c>
      <c r="L25" t="s">
        <v>14</v>
      </c>
      <c r="M25" t="str">
        <f>IF(C25&gt;=90, "High Performer", IF(C25&gt;=70, "Average Performer", IF(C25&gt;=50, "Low Performer", "Bottom Performer")))</f>
        <v>Average Performer</v>
      </c>
    </row>
    <row r="26" spans="1:13" x14ac:dyDescent="0.35">
      <c r="A26">
        <v>11087195</v>
      </c>
      <c r="B26" s="2">
        <v>44841</v>
      </c>
      <c r="C26">
        <v>80</v>
      </c>
      <c r="D26">
        <v>100</v>
      </c>
      <c r="E26">
        <v>70</v>
      </c>
      <c r="F26">
        <v>80</v>
      </c>
      <c r="G26">
        <v>83</v>
      </c>
      <c r="H26">
        <v>100</v>
      </c>
      <c r="I26">
        <v>100</v>
      </c>
      <c r="J26">
        <v>38</v>
      </c>
      <c r="K26">
        <v>100</v>
      </c>
      <c r="L26" t="s">
        <v>15</v>
      </c>
      <c r="M26" t="str">
        <f>IF(C26&gt;=90, "High Performer", IF(C26&gt;=70, "Average Performer", IF(C26&gt;=50, "Low Performer", "Bottom Performer")))</f>
        <v>Average Performer</v>
      </c>
    </row>
    <row r="27" spans="1:13" x14ac:dyDescent="0.35">
      <c r="A27">
        <v>11083988</v>
      </c>
      <c r="B27" s="2">
        <v>44849</v>
      </c>
      <c r="C27">
        <v>78</v>
      </c>
      <c r="D27">
        <v>78</v>
      </c>
      <c r="E27">
        <v>100</v>
      </c>
      <c r="F27">
        <v>80</v>
      </c>
      <c r="G27">
        <v>83</v>
      </c>
      <c r="H27">
        <v>50</v>
      </c>
      <c r="I27">
        <v>100</v>
      </c>
      <c r="J27">
        <v>63</v>
      </c>
      <c r="K27">
        <v>100</v>
      </c>
      <c r="L27" t="s">
        <v>16</v>
      </c>
      <c r="M27" t="str">
        <f>IF(C27&gt;=90, "High Performer", IF(C27&gt;=70, "Average Performer", IF(C27&gt;=50, "Low Performer", "Bottom Performer")))</f>
        <v>Average Performer</v>
      </c>
    </row>
    <row r="28" spans="1:13" x14ac:dyDescent="0.35">
      <c r="A28">
        <v>11084762</v>
      </c>
      <c r="B28" s="2">
        <v>44840</v>
      </c>
      <c r="C28">
        <v>78</v>
      </c>
      <c r="D28">
        <v>89</v>
      </c>
      <c r="E28">
        <v>100</v>
      </c>
      <c r="F28">
        <v>80</v>
      </c>
      <c r="G28">
        <v>50</v>
      </c>
      <c r="H28">
        <v>88</v>
      </c>
      <c r="I28">
        <v>67</v>
      </c>
      <c r="J28">
        <v>50</v>
      </c>
      <c r="K28">
        <v>100</v>
      </c>
      <c r="L28" t="s">
        <v>15</v>
      </c>
      <c r="M28" t="str">
        <f>IF(C28&gt;=90, "High Performer", IF(C28&gt;=70, "Average Performer", IF(C28&gt;=50, "Low Performer", "Bottom Performer")))</f>
        <v>Average Performer</v>
      </c>
    </row>
    <row r="29" spans="1:13" x14ac:dyDescent="0.35">
      <c r="A29">
        <v>11084985</v>
      </c>
      <c r="B29" s="2">
        <v>44845</v>
      </c>
      <c r="C29">
        <v>78</v>
      </c>
      <c r="D29">
        <v>89</v>
      </c>
      <c r="E29">
        <v>89</v>
      </c>
      <c r="F29">
        <v>80</v>
      </c>
      <c r="G29">
        <v>83</v>
      </c>
      <c r="H29">
        <v>63</v>
      </c>
      <c r="I29">
        <v>100</v>
      </c>
      <c r="J29">
        <v>50</v>
      </c>
      <c r="K29">
        <v>100</v>
      </c>
      <c r="L29" t="s">
        <v>16</v>
      </c>
      <c r="M29" t="str">
        <f>IF(C29&gt;=90, "High Performer", IF(C29&gt;=70, "Average Performer", IF(C29&gt;=50, "Low Performer", "Bottom Performer")))</f>
        <v>Average Performer</v>
      </c>
    </row>
    <row r="30" spans="1:13" x14ac:dyDescent="0.35">
      <c r="A30">
        <v>11108736</v>
      </c>
      <c r="B30" s="2">
        <v>44864</v>
      </c>
      <c r="C30">
        <v>77</v>
      </c>
      <c r="D30">
        <v>100</v>
      </c>
      <c r="E30">
        <v>89</v>
      </c>
      <c r="F30">
        <v>80</v>
      </c>
      <c r="G30">
        <v>17</v>
      </c>
      <c r="H30">
        <v>100</v>
      </c>
      <c r="I30">
        <v>100</v>
      </c>
      <c r="J30">
        <v>57</v>
      </c>
      <c r="K30">
        <v>0</v>
      </c>
      <c r="L30" t="s">
        <v>16</v>
      </c>
      <c r="M30" t="str">
        <f>IF(C30&gt;=90, "High Performer", IF(C30&gt;=70, "Average Performer", IF(C30&gt;=50, "Low Performer", "Bottom Performer")))</f>
        <v>Average Performer</v>
      </c>
    </row>
    <row r="31" spans="1:13" x14ac:dyDescent="0.35">
      <c r="A31">
        <v>11084784</v>
      </c>
      <c r="B31" s="2">
        <v>44840</v>
      </c>
      <c r="C31">
        <v>76</v>
      </c>
      <c r="D31">
        <v>89</v>
      </c>
      <c r="E31">
        <v>89</v>
      </c>
      <c r="F31">
        <v>80</v>
      </c>
      <c r="G31">
        <v>50</v>
      </c>
      <c r="H31">
        <v>75</v>
      </c>
      <c r="I31">
        <v>100</v>
      </c>
      <c r="J31">
        <v>63</v>
      </c>
      <c r="K31">
        <v>0</v>
      </c>
      <c r="L31" t="s">
        <v>14</v>
      </c>
      <c r="M31" t="str">
        <f>IF(C31&gt;=90, "High Performer", IF(C31&gt;=70, "Average Performer", IF(C31&gt;=50, "Low Performer", "Bottom Performer")))</f>
        <v>Average Performer</v>
      </c>
    </row>
    <row r="32" spans="1:13" x14ac:dyDescent="0.35">
      <c r="A32">
        <v>11083778</v>
      </c>
      <c r="B32" s="2">
        <v>44846</v>
      </c>
      <c r="C32">
        <v>74</v>
      </c>
      <c r="D32">
        <v>78</v>
      </c>
      <c r="E32">
        <v>90</v>
      </c>
      <c r="F32">
        <v>40</v>
      </c>
      <c r="G32">
        <v>50</v>
      </c>
      <c r="H32">
        <v>100</v>
      </c>
      <c r="I32">
        <v>100</v>
      </c>
      <c r="J32">
        <v>50</v>
      </c>
      <c r="K32">
        <v>100</v>
      </c>
      <c r="L32" t="s">
        <v>15</v>
      </c>
      <c r="M32" t="str">
        <f>IF(C32&gt;=90, "High Performer", IF(C32&gt;=70, "Average Performer", IF(C32&gt;=50, "Low Performer", "Bottom Performer")))</f>
        <v>Average Performer</v>
      </c>
    </row>
    <row r="33" spans="1:13" x14ac:dyDescent="0.35">
      <c r="A33">
        <v>11083780</v>
      </c>
      <c r="B33" s="2">
        <v>44842</v>
      </c>
      <c r="C33">
        <v>74</v>
      </c>
      <c r="D33">
        <v>78</v>
      </c>
      <c r="E33">
        <v>90</v>
      </c>
      <c r="F33">
        <v>60</v>
      </c>
      <c r="G33">
        <v>17</v>
      </c>
      <c r="H33">
        <v>100</v>
      </c>
      <c r="I33">
        <v>100</v>
      </c>
      <c r="J33">
        <v>63</v>
      </c>
      <c r="K33">
        <v>100</v>
      </c>
      <c r="L33" t="s">
        <v>15</v>
      </c>
      <c r="M33" t="str">
        <f>IF(C33&gt;=90, "High Performer", IF(C33&gt;=70, "Average Performer", IF(C33&gt;=50, "Low Performer", "Bottom Performer")))</f>
        <v>Average Performer</v>
      </c>
    </row>
    <row r="34" spans="1:13" x14ac:dyDescent="0.35">
      <c r="A34">
        <v>11095478</v>
      </c>
      <c r="B34" s="2">
        <v>44852</v>
      </c>
      <c r="C34">
        <v>73</v>
      </c>
      <c r="D34">
        <v>89</v>
      </c>
      <c r="E34">
        <v>89</v>
      </c>
      <c r="F34">
        <v>80</v>
      </c>
      <c r="G34">
        <v>50</v>
      </c>
      <c r="H34">
        <v>63</v>
      </c>
      <c r="I34">
        <v>100</v>
      </c>
      <c r="J34">
        <v>50</v>
      </c>
      <c r="K34">
        <v>100</v>
      </c>
      <c r="L34" t="s">
        <v>16</v>
      </c>
      <c r="M34" t="str">
        <f>IF(C34&gt;=90, "High Performer", IF(C34&gt;=70, "Average Performer", IF(C34&gt;=50, "Low Performer", "Bottom Performer")))</f>
        <v>Average Performer</v>
      </c>
    </row>
    <row r="35" spans="1:13" x14ac:dyDescent="0.35">
      <c r="A35">
        <v>11083324</v>
      </c>
      <c r="B35" s="2">
        <v>44848</v>
      </c>
      <c r="C35">
        <v>72</v>
      </c>
      <c r="D35">
        <v>100</v>
      </c>
      <c r="E35">
        <v>100</v>
      </c>
      <c r="F35">
        <v>80</v>
      </c>
      <c r="G35">
        <v>17</v>
      </c>
      <c r="H35">
        <v>75</v>
      </c>
      <c r="I35">
        <v>100</v>
      </c>
      <c r="J35">
        <v>25</v>
      </c>
      <c r="K35">
        <v>100</v>
      </c>
      <c r="L35" t="s">
        <v>14</v>
      </c>
      <c r="M35" t="str">
        <f>IF(C35&gt;=90, "High Performer", IF(C35&gt;=70, "Average Performer", IF(C35&gt;=50, "Low Performer", "Bottom Performer")))</f>
        <v>Average Performer</v>
      </c>
    </row>
    <row r="36" spans="1:13" x14ac:dyDescent="0.35">
      <c r="A36">
        <v>11084844</v>
      </c>
      <c r="B36" s="2">
        <v>44842</v>
      </c>
      <c r="C36">
        <v>71</v>
      </c>
      <c r="D36">
        <v>100</v>
      </c>
      <c r="E36">
        <v>67</v>
      </c>
      <c r="F36">
        <v>80</v>
      </c>
      <c r="G36">
        <v>50</v>
      </c>
      <c r="H36">
        <v>88</v>
      </c>
      <c r="I36">
        <v>0</v>
      </c>
      <c r="J36">
        <v>57</v>
      </c>
      <c r="K36">
        <v>100</v>
      </c>
      <c r="L36" t="s">
        <v>14</v>
      </c>
      <c r="M36" t="str">
        <f>IF(C36&gt;=90, "High Performer", IF(C36&gt;=70, "Average Performer", IF(C36&gt;=50, "Low Performer", "Bottom Performer")))</f>
        <v>Average Performer</v>
      </c>
    </row>
    <row r="37" spans="1:13" x14ac:dyDescent="0.35">
      <c r="A37">
        <v>11095498</v>
      </c>
      <c r="B37" s="2">
        <v>44855</v>
      </c>
      <c r="C37">
        <v>71</v>
      </c>
      <c r="D37">
        <v>89</v>
      </c>
      <c r="E37">
        <v>78</v>
      </c>
      <c r="F37">
        <v>60</v>
      </c>
      <c r="G37">
        <v>50</v>
      </c>
      <c r="H37">
        <v>75</v>
      </c>
      <c r="I37">
        <v>67</v>
      </c>
      <c r="J37">
        <v>63</v>
      </c>
      <c r="K37">
        <v>100</v>
      </c>
      <c r="L37" t="s">
        <v>16</v>
      </c>
      <c r="M37" t="str">
        <f>IF(C37&gt;=90, "High Performer", IF(C37&gt;=70, "Average Performer", IF(C37&gt;=50, "Low Performer", "Bottom Performer")))</f>
        <v>Average Performer</v>
      </c>
    </row>
    <row r="38" spans="1:13" x14ac:dyDescent="0.35">
      <c r="A38">
        <v>11083783</v>
      </c>
      <c r="B38" s="2">
        <v>44845</v>
      </c>
      <c r="C38">
        <v>70</v>
      </c>
      <c r="D38">
        <v>78</v>
      </c>
      <c r="E38">
        <v>60</v>
      </c>
      <c r="F38">
        <v>100</v>
      </c>
      <c r="G38">
        <v>50</v>
      </c>
      <c r="H38">
        <v>88</v>
      </c>
      <c r="I38">
        <v>100</v>
      </c>
      <c r="J38">
        <v>38</v>
      </c>
      <c r="K38">
        <v>100</v>
      </c>
      <c r="L38" t="s">
        <v>15</v>
      </c>
      <c r="M38" t="str">
        <f>IF(C38&gt;=90, "High Performer", IF(C38&gt;=70, "Average Performer", IF(C38&gt;=50, "Low Performer", "Bottom Performer")))</f>
        <v>Average Performer</v>
      </c>
    </row>
    <row r="39" spans="1:13" x14ac:dyDescent="0.35">
      <c r="A39">
        <v>11086368</v>
      </c>
      <c r="B39" s="2">
        <v>44856</v>
      </c>
      <c r="C39">
        <v>69</v>
      </c>
      <c r="D39">
        <v>89</v>
      </c>
      <c r="E39">
        <v>78</v>
      </c>
      <c r="F39">
        <v>100</v>
      </c>
      <c r="G39">
        <v>50</v>
      </c>
      <c r="H39">
        <v>38</v>
      </c>
      <c r="I39">
        <v>100</v>
      </c>
      <c r="J39">
        <v>50</v>
      </c>
      <c r="K39">
        <v>100</v>
      </c>
      <c r="L39" t="s">
        <v>16</v>
      </c>
      <c r="M39" t="str">
        <f>IF(C39&gt;=90, "High Performer", IF(C39&gt;=70, "Average Performer", IF(C39&gt;=50, "Low Performer", "Bottom Performer")))</f>
        <v>Low Performer</v>
      </c>
    </row>
    <row r="40" spans="1:13" x14ac:dyDescent="0.35">
      <c r="A40">
        <v>11096807</v>
      </c>
      <c r="B40" s="2">
        <v>44850</v>
      </c>
      <c r="C40">
        <v>69</v>
      </c>
      <c r="D40">
        <v>100</v>
      </c>
      <c r="E40">
        <v>67</v>
      </c>
      <c r="F40">
        <v>80</v>
      </c>
      <c r="G40">
        <v>50</v>
      </c>
      <c r="H40">
        <v>88</v>
      </c>
      <c r="I40">
        <v>0</v>
      </c>
      <c r="J40">
        <v>50</v>
      </c>
      <c r="K40">
        <v>100</v>
      </c>
      <c r="L40" t="s">
        <v>14</v>
      </c>
      <c r="M40" t="str">
        <f>IF(C40&gt;=90, "High Performer", IF(C40&gt;=70, "Average Performer", IF(C40&gt;=50, "Low Performer", "Bottom Performer")))</f>
        <v>Low Performer</v>
      </c>
    </row>
    <row r="41" spans="1:13" x14ac:dyDescent="0.35">
      <c r="A41">
        <v>11097708</v>
      </c>
      <c r="B41" s="2">
        <v>44850</v>
      </c>
      <c r="C41">
        <v>69</v>
      </c>
      <c r="D41">
        <v>100</v>
      </c>
      <c r="E41">
        <v>78</v>
      </c>
      <c r="F41">
        <v>80</v>
      </c>
      <c r="G41">
        <v>50</v>
      </c>
      <c r="H41">
        <v>75</v>
      </c>
      <c r="I41">
        <v>0</v>
      </c>
      <c r="J41">
        <v>50</v>
      </c>
      <c r="K41">
        <v>100</v>
      </c>
      <c r="L41" t="s">
        <v>14</v>
      </c>
      <c r="M41" t="str">
        <f>IF(C41&gt;=90, "High Performer", IF(C41&gt;=70, "Average Performer", IF(C41&gt;=50, "Low Performer", "Bottom Performer")))</f>
        <v>Low Performer</v>
      </c>
    </row>
    <row r="42" spans="1:13" x14ac:dyDescent="0.35">
      <c r="A42">
        <v>11084845</v>
      </c>
      <c r="B42" s="2">
        <v>44842</v>
      </c>
      <c r="C42">
        <v>67</v>
      </c>
      <c r="D42">
        <v>89</v>
      </c>
      <c r="E42">
        <v>78</v>
      </c>
      <c r="F42">
        <v>80</v>
      </c>
      <c r="G42">
        <v>50</v>
      </c>
      <c r="H42">
        <v>75</v>
      </c>
      <c r="I42">
        <v>0</v>
      </c>
      <c r="J42">
        <v>43</v>
      </c>
      <c r="K42">
        <v>100</v>
      </c>
      <c r="L42" t="s">
        <v>14</v>
      </c>
      <c r="M42" t="str">
        <f>IF(C42&gt;=90, "High Performer", IF(C42&gt;=70, "Average Performer", IF(C42&gt;=50, "Low Performer", "Bottom Performer")))</f>
        <v>Low Performer</v>
      </c>
    </row>
    <row r="43" spans="1:13" x14ac:dyDescent="0.35">
      <c r="A43">
        <v>11084781</v>
      </c>
      <c r="B43" s="2">
        <v>44847</v>
      </c>
      <c r="C43">
        <v>65</v>
      </c>
      <c r="D43">
        <v>89</v>
      </c>
      <c r="E43">
        <v>89</v>
      </c>
      <c r="F43">
        <v>80</v>
      </c>
      <c r="G43">
        <v>50</v>
      </c>
      <c r="H43">
        <v>25</v>
      </c>
      <c r="I43">
        <v>33</v>
      </c>
      <c r="J43">
        <v>63</v>
      </c>
      <c r="K43">
        <v>100</v>
      </c>
      <c r="L43" t="s">
        <v>16</v>
      </c>
      <c r="M43" t="str">
        <f>IF(C43&gt;=90, "High Performer", IF(C43&gt;=70, "Average Performer", IF(C43&gt;=50, "Low Performer", "Bottom Performer")))</f>
        <v>Low Performer</v>
      </c>
    </row>
    <row r="44" spans="1:13" x14ac:dyDescent="0.35">
      <c r="A44">
        <v>11108850</v>
      </c>
      <c r="B44" s="2">
        <v>44863</v>
      </c>
      <c r="C44">
        <v>65</v>
      </c>
      <c r="D44">
        <v>89</v>
      </c>
      <c r="E44">
        <v>78</v>
      </c>
      <c r="F44">
        <v>40</v>
      </c>
      <c r="G44">
        <v>50</v>
      </c>
      <c r="H44">
        <v>63</v>
      </c>
      <c r="I44">
        <v>67</v>
      </c>
      <c r="J44">
        <v>43</v>
      </c>
      <c r="K44">
        <v>100</v>
      </c>
      <c r="L44" t="s">
        <v>15</v>
      </c>
      <c r="M44" t="str">
        <f>IF(C44&gt;=90, "High Performer", IF(C44&gt;=70, "Average Performer", IF(C44&gt;=50, "Low Performer", "Bottom Performer")))</f>
        <v>Low Performer</v>
      </c>
    </row>
    <row r="45" spans="1:13" x14ac:dyDescent="0.35">
      <c r="A45">
        <v>11086048</v>
      </c>
      <c r="B45" s="2">
        <v>44844</v>
      </c>
      <c r="C45">
        <v>64</v>
      </c>
      <c r="D45">
        <v>89</v>
      </c>
      <c r="E45">
        <v>80</v>
      </c>
      <c r="F45">
        <v>0</v>
      </c>
      <c r="G45">
        <v>83</v>
      </c>
      <c r="H45">
        <v>38</v>
      </c>
      <c r="I45">
        <v>100</v>
      </c>
      <c r="J45">
        <v>63</v>
      </c>
      <c r="K45">
        <v>0</v>
      </c>
      <c r="L45" t="s">
        <v>17</v>
      </c>
      <c r="M45" t="str">
        <f>IF(C45&gt;=90, "High Performer", IF(C45&gt;=70, "Average Performer", IF(C45&gt;=50, "Low Performer", "Bottom Performer")))</f>
        <v>Low Performer</v>
      </c>
    </row>
    <row r="46" spans="1:13" x14ac:dyDescent="0.35">
      <c r="A46">
        <v>11095740</v>
      </c>
      <c r="B46" s="2">
        <v>44847</v>
      </c>
      <c r="C46">
        <v>62</v>
      </c>
      <c r="D46">
        <v>100</v>
      </c>
      <c r="E46">
        <v>80</v>
      </c>
      <c r="F46">
        <v>0</v>
      </c>
      <c r="G46">
        <v>50</v>
      </c>
      <c r="H46">
        <v>50</v>
      </c>
      <c r="I46">
        <v>100</v>
      </c>
      <c r="J46">
        <v>50</v>
      </c>
      <c r="K46">
        <v>0</v>
      </c>
      <c r="L46" t="s">
        <v>17</v>
      </c>
      <c r="M46" t="str">
        <f>IF(C46&gt;=90, "High Performer", IF(C46&gt;=70, "Average Performer", IF(C46&gt;=50, "Low Performer", "Bottom Performer")))</f>
        <v>Low Performer</v>
      </c>
    </row>
    <row r="47" spans="1:13" x14ac:dyDescent="0.35">
      <c r="A47">
        <v>11084277</v>
      </c>
      <c r="B47" s="2">
        <v>44842</v>
      </c>
      <c r="C47">
        <v>61</v>
      </c>
      <c r="D47">
        <v>78</v>
      </c>
      <c r="E47">
        <v>67</v>
      </c>
      <c r="F47">
        <v>60</v>
      </c>
      <c r="G47">
        <v>83</v>
      </c>
      <c r="H47">
        <v>38</v>
      </c>
      <c r="I47">
        <v>67</v>
      </c>
      <c r="J47">
        <v>38</v>
      </c>
      <c r="K47">
        <v>100</v>
      </c>
      <c r="L47" t="s">
        <v>15</v>
      </c>
      <c r="M47" t="str">
        <f>IF(C47&gt;=90, "High Performer", IF(C47&gt;=70, "Average Performer", IF(C47&gt;=50, "Low Performer", "Bottom Performer")))</f>
        <v>Low Performer</v>
      </c>
    </row>
    <row r="48" spans="1:13" x14ac:dyDescent="0.35">
      <c r="A48">
        <v>11097750</v>
      </c>
      <c r="B48" s="2">
        <v>44849</v>
      </c>
      <c r="C48">
        <v>61</v>
      </c>
      <c r="D48">
        <v>78</v>
      </c>
      <c r="E48">
        <v>89</v>
      </c>
      <c r="F48">
        <v>0</v>
      </c>
      <c r="G48">
        <v>83</v>
      </c>
      <c r="H48">
        <v>38</v>
      </c>
      <c r="I48">
        <v>100</v>
      </c>
      <c r="J48">
        <v>38</v>
      </c>
      <c r="K48">
        <v>100</v>
      </c>
      <c r="L48" t="s">
        <v>16</v>
      </c>
      <c r="M48" t="str">
        <f>IF(C48&gt;=90, "High Performer", IF(C48&gt;=70, "Average Performer", IF(C48&gt;=50, "Low Performer", "Bottom Performer")))</f>
        <v>Low Performer</v>
      </c>
    </row>
    <row r="49" spans="1:13" x14ac:dyDescent="0.35">
      <c r="A49">
        <v>11107721</v>
      </c>
      <c r="B49" s="2">
        <v>44862</v>
      </c>
      <c r="C49">
        <v>61</v>
      </c>
      <c r="D49">
        <v>78</v>
      </c>
      <c r="E49">
        <v>67</v>
      </c>
      <c r="F49">
        <v>40</v>
      </c>
      <c r="G49">
        <v>50</v>
      </c>
      <c r="H49">
        <v>88</v>
      </c>
      <c r="I49">
        <v>33</v>
      </c>
      <c r="J49">
        <v>38</v>
      </c>
      <c r="K49">
        <v>100</v>
      </c>
      <c r="L49" t="s">
        <v>17</v>
      </c>
      <c r="M49" t="str">
        <f>IF(C49&gt;=90, "High Performer", IF(C49&gt;=70, "Average Performer", IF(C49&gt;=50, "Low Performer", "Bottom Performer")))</f>
        <v>Low Performer</v>
      </c>
    </row>
    <row r="50" spans="1:13" x14ac:dyDescent="0.35">
      <c r="A50">
        <v>11084846</v>
      </c>
      <c r="B50" s="2">
        <v>44842</v>
      </c>
      <c r="C50">
        <v>60</v>
      </c>
      <c r="D50">
        <v>78</v>
      </c>
      <c r="E50">
        <v>78</v>
      </c>
      <c r="F50">
        <v>60</v>
      </c>
      <c r="G50">
        <v>50</v>
      </c>
      <c r="H50">
        <v>38</v>
      </c>
      <c r="I50">
        <v>67</v>
      </c>
      <c r="J50">
        <v>43</v>
      </c>
      <c r="K50">
        <v>100</v>
      </c>
      <c r="L50" t="s">
        <v>14</v>
      </c>
      <c r="M50" t="str">
        <f>IF(C50&gt;=90, "High Performer", IF(C50&gt;=70, "Average Performer", IF(C50&gt;=50, "Low Performer", "Bottom Performer")))</f>
        <v>Low Performer</v>
      </c>
    </row>
    <row r="51" spans="1:13" x14ac:dyDescent="0.35">
      <c r="A51">
        <v>11085892</v>
      </c>
      <c r="B51" s="2">
        <v>44842</v>
      </c>
      <c r="C51">
        <v>59</v>
      </c>
      <c r="D51">
        <v>89</v>
      </c>
      <c r="E51">
        <v>78</v>
      </c>
      <c r="F51">
        <v>80</v>
      </c>
      <c r="G51">
        <v>17</v>
      </c>
      <c r="H51">
        <v>38</v>
      </c>
      <c r="I51">
        <v>100</v>
      </c>
      <c r="J51">
        <v>25</v>
      </c>
      <c r="K51">
        <v>100</v>
      </c>
      <c r="L51" t="s">
        <v>16</v>
      </c>
      <c r="M51" t="str">
        <f>IF(C51&gt;=90, "High Performer", IF(C51&gt;=70, "Average Performer", IF(C51&gt;=50, "Low Performer", "Bottom Performer")))</f>
        <v>Low Performer</v>
      </c>
    </row>
    <row r="52" spans="1:13" x14ac:dyDescent="0.35">
      <c r="A52">
        <v>11078689</v>
      </c>
      <c r="B52" s="2">
        <v>44835</v>
      </c>
      <c r="C52">
        <v>58</v>
      </c>
      <c r="D52">
        <v>100</v>
      </c>
      <c r="E52">
        <v>56</v>
      </c>
      <c r="F52">
        <v>80</v>
      </c>
      <c r="G52">
        <v>17</v>
      </c>
      <c r="H52">
        <v>50</v>
      </c>
      <c r="I52">
        <v>0</v>
      </c>
      <c r="J52">
        <v>57</v>
      </c>
      <c r="K52">
        <v>100</v>
      </c>
      <c r="L52" t="s">
        <v>14</v>
      </c>
      <c r="M52" t="str">
        <f>IF(C52&gt;=90, "High Performer", IF(C52&gt;=70, "Average Performer", IF(C52&gt;=50, "Low Performer", "Bottom Performer")))</f>
        <v>Low Performer</v>
      </c>
    </row>
    <row r="53" spans="1:13" x14ac:dyDescent="0.35">
      <c r="A53">
        <v>11099886</v>
      </c>
      <c r="B53" s="2">
        <v>44857</v>
      </c>
      <c r="C53">
        <v>53</v>
      </c>
      <c r="D53">
        <v>89</v>
      </c>
      <c r="E53">
        <v>78</v>
      </c>
      <c r="F53">
        <v>20</v>
      </c>
      <c r="G53">
        <v>50</v>
      </c>
      <c r="H53">
        <v>13</v>
      </c>
      <c r="I53">
        <v>67</v>
      </c>
      <c r="J53">
        <v>38</v>
      </c>
      <c r="K53">
        <v>100</v>
      </c>
      <c r="L53" t="s">
        <v>16</v>
      </c>
      <c r="M53" t="str">
        <f>IF(C53&gt;=90, "High Performer", IF(C53&gt;=70, "Average Performer", IF(C53&gt;=50, "Low Performer", "Bottom Performer")))</f>
        <v>Low Performer</v>
      </c>
    </row>
    <row r="54" spans="1:13" x14ac:dyDescent="0.35">
      <c r="A54">
        <v>11095640</v>
      </c>
      <c r="B54" s="2">
        <v>44853</v>
      </c>
      <c r="C54">
        <v>52</v>
      </c>
      <c r="D54">
        <v>78</v>
      </c>
      <c r="E54">
        <v>33</v>
      </c>
      <c r="F54">
        <v>40</v>
      </c>
      <c r="G54">
        <v>50</v>
      </c>
      <c r="H54">
        <v>25</v>
      </c>
      <c r="I54">
        <v>100</v>
      </c>
      <c r="J54">
        <v>57</v>
      </c>
      <c r="K54">
        <v>100</v>
      </c>
      <c r="L54" t="s">
        <v>16</v>
      </c>
      <c r="M54" t="str">
        <f>IF(C54&gt;=90, "High Performer", IF(C54&gt;=70, "Average Performer", IF(C54&gt;=50, "Low Performer", "Bottom Performer")))</f>
        <v>Low Performer</v>
      </c>
    </row>
    <row r="55" spans="1:13" x14ac:dyDescent="0.35">
      <c r="A55">
        <v>11096780</v>
      </c>
      <c r="B55" s="2">
        <v>44849</v>
      </c>
      <c r="C55">
        <v>41</v>
      </c>
      <c r="D55">
        <v>78</v>
      </c>
      <c r="E55">
        <v>78</v>
      </c>
      <c r="F55">
        <v>0</v>
      </c>
      <c r="G55">
        <v>33</v>
      </c>
      <c r="H55">
        <v>25</v>
      </c>
      <c r="I55">
        <v>33</v>
      </c>
      <c r="J55">
        <v>0</v>
      </c>
      <c r="K55">
        <v>100</v>
      </c>
      <c r="L55" t="s">
        <v>17</v>
      </c>
      <c r="M55" t="str">
        <f>IF(C55&gt;=90, "High Performer", IF(C55&gt;=70, "Average Performer", IF(C55&gt;=50, "Low Performer", "Bottom Performer")))</f>
        <v>Bottom Performer</v>
      </c>
    </row>
    <row r="56" spans="1:13" x14ac:dyDescent="0.35">
      <c r="A56">
        <v>11095494</v>
      </c>
      <c r="B56" s="2">
        <v>44852</v>
      </c>
      <c r="C56">
        <v>39</v>
      </c>
      <c r="D56">
        <v>78</v>
      </c>
      <c r="E56">
        <v>67</v>
      </c>
      <c r="F56">
        <v>0</v>
      </c>
      <c r="G56">
        <v>17</v>
      </c>
      <c r="H56">
        <v>13</v>
      </c>
      <c r="I56">
        <v>67</v>
      </c>
      <c r="J56">
        <v>25</v>
      </c>
      <c r="K56">
        <v>0</v>
      </c>
      <c r="L56" t="s">
        <v>16</v>
      </c>
      <c r="M56" t="str">
        <f>IF(C56&gt;=90, "High Performer", IF(C56&gt;=70, "Average Performer", IF(C56&gt;=50, "Low Performer", "Bottom Performer")))</f>
        <v>Bottom Performer</v>
      </c>
    </row>
    <row r="57" spans="1:13" x14ac:dyDescent="0.35">
      <c r="A57">
        <v>11083773</v>
      </c>
      <c r="B57" s="2">
        <v>44840</v>
      </c>
      <c r="C57">
        <v>36</v>
      </c>
      <c r="D57">
        <v>78</v>
      </c>
      <c r="E57">
        <v>90</v>
      </c>
      <c r="F57">
        <v>0</v>
      </c>
      <c r="G57">
        <v>0</v>
      </c>
      <c r="H57">
        <v>0</v>
      </c>
      <c r="I57">
        <v>0</v>
      </c>
      <c r="J57">
        <v>25</v>
      </c>
      <c r="K57">
        <v>0</v>
      </c>
      <c r="L57" t="s">
        <v>15</v>
      </c>
      <c r="M57" t="str">
        <f>IF(C57&gt;=90, "High Performer", IF(C57&gt;=70, "Average Performer", IF(C57&gt;=50, "Low Performer", "Bottom Performer")))</f>
        <v>Bottom Performer</v>
      </c>
    </row>
    <row r="58" spans="1:13" x14ac:dyDescent="0.35">
      <c r="A58">
        <v>11108785</v>
      </c>
      <c r="B58" s="2">
        <v>44864</v>
      </c>
      <c r="C58">
        <v>35</v>
      </c>
      <c r="D58">
        <v>78</v>
      </c>
      <c r="E58">
        <v>67</v>
      </c>
      <c r="F58">
        <v>40</v>
      </c>
      <c r="G58">
        <v>0</v>
      </c>
      <c r="H58">
        <v>0</v>
      </c>
      <c r="I58">
        <v>0</v>
      </c>
      <c r="J58">
        <v>25</v>
      </c>
      <c r="K58">
        <v>0</v>
      </c>
      <c r="L58" t="s">
        <v>16</v>
      </c>
      <c r="M58" t="str">
        <f>IF(C58&gt;=90, "High Performer", IF(C58&gt;=70, "Average Performer", IF(C58&gt;=50, "Low Performer", "Bottom Performer")))</f>
        <v>Bottom Performer</v>
      </c>
    </row>
    <row r="59" spans="1:13" x14ac:dyDescent="0.35">
      <c r="A59">
        <v>11083777</v>
      </c>
      <c r="B59" s="2">
        <v>44845</v>
      </c>
      <c r="C59">
        <v>34</v>
      </c>
      <c r="D59">
        <v>78</v>
      </c>
      <c r="E59">
        <v>60</v>
      </c>
      <c r="F59">
        <v>40</v>
      </c>
      <c r="G59">
        <v>0</v>
      </c>
      <c r="H59">
        <v>0</v>
      </c>
      <c r="I59">
        <v>33</v>
      </c>
      <c r="J59">
        <v>13</v>
      </c>
      <c r="K59">
        <v>0</v>
      </c>
      <c r="L59" t="s">
        <v>15</v>
      </c>
      <c r="M59" t="str">
        <f>IF(C59&gt;=90, "High Performer", IF(C59&gt;=70, "Average Performer", IF(C59&gt;=50, "Low Performer", "Bottom Performer")))</f>
        <v>Bottom Performer</v>
      </c>
    </row>
    <row r="60" spans="1:13" x14ac:dyDescent="0.35">
      <c r="A60">
        <v>11099765</v>
      </c>
      <c r="B60" s="2">
        <v>44852</v>
      </c>
      <c r="C60">
        <v>34</v>
      </c>
      <c r="D60">
        <v>89</v>
      </c>
      <c r="E60">
        <v>70</v>
      </c>
      <c r="F60">
        <v>0</v>
      </c>
      <c r="G60">
        <v>0</v>
      </c>
      <c r="H60">
        <v>0</v>
      </c>
      <c r="I60">
        <v>67</v>
      </c>
      <c r="J60">
        <v>0</v>
      </c>
      <c r="K60">
        <v>0</v>
      </c>
      <c r="L60" t="s">
        <v>15</v>
      </c>
      <c r="M60" t="str">
        <f>IF(C60&gt;=90, "High Performer", IF(C60&gt;=70, "Average Performer", IF(C60&gt;=50, "Low Performer", "Bottom Performer")))</f>
        <v>Bottom Performer</v>
      </c>
    </row>
    <row r="61" spans="1:13" x14ac:dyDescent="0.35">
      <c r="A61">
        <v>11085982</v>
      </c>
      <c r="B61" s="2">
        <v>44842</v>
      </c>
      <c r="C61">
        <v>33</v>
      </c>
      <c r="D61">
        <v>100</v>
      </c>
      <c r="E61">
        <v>33</v>
      </c>
      <c r="F61">
        <v>20</v>
      </c>
      <c r="G61">
        <v>0</v>
      </c>
      <c r="H61">
        <v>0</v>
      </c>
      <c r="I61">
        <v>33</v>
      </c>
      <c r="J61">
        <v>25</v>
      </c>
      <c r="K61">
        <v>0</v>
      </c>
      <c r="L61" t="s">
        <v>14</v>
      </c>
      <c r="M61" t="str">
        <f>IF(C61&gt;=90, "High Performer", IF(C61&gt;=70, "Average Performer", IF(C61&gt;=50, "Low Performer", "Bottom Performer")))</f>
        <v>Bottom Performer</v>
      </c>
    </row>
    <row r="62" spans="1:13" x14ac:dyDescent="0.35">
      <c r="A62">
        <v>11108784</v>
      </c>
      <c r="B62" s="2">
        <v>44864</v>
      </c>
      <c r="C62">
        <v>33</v>
      </c>
      <c r="D62">
        <v>78</v>
      </c>
      <c r="E62">
        <v>56</v>
      </c>
      <c r="F62">
        <v>20</v>
      </c>
      <c r="G62">
        <v>0</v>
      </c>
      <c r="H62">
        <v>0</v>
      </c>
      <c r="I62">
        <v>33</v>
      </c>
      <c r="J62">
        <v>29</v>
      </c>
      <c r="K62">
        <v>0</v>
      </c>
      <c r="L62" t="s">
        <v>16</v>
      </c>
      <c r="M62" t="str">
        <f>IF(C62&gt;=90, "High Performer", IF(C62&gt;=70, "Average Performer", IF(C62&gt;=50, "Low Performer", "Bottom Performer")))</f>
        <v>Bottom Performer</v>
      </c>
    </row>
    <row r="63" spans="1:13" x14ac:dyDescent="0.35">
      <c r="C63" s="2"/>
    </row>
    <row r="64" spans="1:13" x14ac:dyDescent="0.35">
      <c r="C64" s="2"/>
    </row>
    <row r="65" spans="3:3" x14ac:dyDescent="0.35">
      <c r="C65" s="2"/>
    </row>
    <row r="66" spans="3:3" x14ac:dyDescent="0.35">
      <c r="C66" s="2"/>
    </row>
    <row r="67" spans="3:3" x14ac:dyDescent="0.35">
      <c r="C67" s="2"/>
    </row>
    <row r="68" spans="3:3" x14ac:dyDescent="0.35">
      <c r="C68" s="2"/>
    </row>
    <row r="69" spans="3:3" x14ac:dyDescent="0.35">
      <c r="C69" s="2"/>
    </row>
    <row r="70" spans="3:3" x14ac:dyDescent="0.35">
      <c r="C70" s="2"/>
    </row>
    <row r="71" spans="3:3" x14ac:dyDescent="0.35">
      <c r="C71" s="2"/>
    </row>
    <row r="72" spans="3:3" x14ac:dyDescent="0.35">
      <c r="C72" s="2"/>
    </row>
    <row r="73" spans="3:3" x14ac:dyDescent="0.35">
      <c r="C73" s="2"/>
    </row>
    <row r="74" spans="3:3" x14ac:dyDescent="0.35">
      <c r="C74" s="2"/>
    </row>
    <row r="75" spans="3:3" x14ac:dyDescent="0.35">
      <c r="C75" s="2"/>
    </row>
    <row r="76" spans="3:3" x14ac:dyDescent="0.35">
      <c r="C76" s="2"/>
    </row>
    <row r="77" spans="3:3" x14ac:dyDescent="0.35">
      <c r="C77" s="2"/>
    </row>
    <row r="78" spans="3:3" x14ac:dyDescent="0.35">
      <c r="C78" s="2"/>
    </row>
    <row r="79" spans="3:3" x14ac:dyDescent="0.35">
      <c r="C79" s="2"/>
    </row>
    <row r="80" spans="3:3" x14ac:dyDescent="0.35">
      <c r="C80" s="2"/>
    </row>
    <row r="81" spans="3:3" x14ac:dyDescent="0.35">
      <c r="C81" s="2"/>
    </row>
    <row r="82" spans="3:3" x14ac:dyDescent="0.35">
      <c r="C82" s="2"/>
    </row>
    <row r="83" spans="3:3" x14ac:dyDescent="0.35">
      <c r="C83" s="2"/>
    </row>
    <row r="84" spans="3:3" x14ac:dyDescent="0.35">
      <c r="C84" s="2"/>
    </row>
    <row r="85" spans="3:3" x14ac:dyDescent="0.35">
      <c r="C85" s="2"/>
    </row>
    <row r="86" spans="3:3" x14ac:dyDescent="0.35">
      <c r="C86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26CB91-F9C4-4251-8795-EF4BB53087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Tables</vt:lpstr>
      <vt:lpstr>Pivot Table2</vt:lpstr>
      <vt:lpstr>Visualisation</vt:lpstr>
      <vt:lpstr>Sheet4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Shavin Mathur</dc:creator>
  <cp:lastModifiedBy>Shavin Mathur</cp:lastModifiedBy>
  <dcterms:created xsi:type="dcterms:W3CDTF">2025-11-11T06:14:32Z</dcterms:created>
  <dcterms:modified xsi:type="dcterms:W3CDTF">2025-11-11T11:41:21Z</dcterms:modified>
</cp:coreProperties>
</file>